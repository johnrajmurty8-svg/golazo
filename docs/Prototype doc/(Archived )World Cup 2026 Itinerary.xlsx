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nerary" sheetId="1" r:id="rId4"/>
    <sheet state="visible" name="Rough Budget" sheetId="2" r:id="rId5"/>
    <sheet state="visible" name="Sheet2" sheetId="3" r:id="rId6"/>
    <sheet state="visible" name="FAs" sheetId="4" r:id="rId7"/>
  </sheets>
  <definedNames/>
  <calcPr/>
  <extLst>
    <ext uri="GoogleSheetsCustomDataVersion2">
      <go:sheetsCustomData xmlns:go="http://customooxmlschemas.google.com/" r:id="rId8" roundtripDataChecksum="Ar6ckv1WHD0fdXEvkmtgOKf/qNEop8/tLpj4C1OjJjI="/>
    </ext>
  </extLst>
</workbook>
</file>

<file path=xl/sharedStrings.xml><?xml version="1.0" encoding="utf-8"?>
<sst xmlns="http://schemas.openxmlformats.org/spreadsheetml/2006/main" count="205" uniqueCount="162">
  <si>
    <t>Itinerary</t>
  </si>
  <si>
    <t>Cost</t>
  </si>
  <si>
    <t>Dates</t>
  </si>
  <si>
    <t>Location</t>
  </si>
  <si>
    <t>Time (local)</t>
  </si>
  <si>
    <t>Accomodation</t>
  </si>
  <si>
    <t>Activity</t>
  </si>
  <si>
    <t>Comment</t>
  </si>
  <si>
    <t>AUD</t>
  </si>
  <si>
    <t>USD</t>
  </si>
  <si>
    <t>JPY</t>
  </si>
  <si>
    <t>Paid by</t>
  </si>
  <si>
    <t>Perth</t>
  </si>
  <si>
    <t>JT to depart Perth</t>
  </si>
  <si>
    <t>Q654</t>
  </si>
  <si>
    <t>Sydney</t>
  </si>
  <si>
    <t>Mark/JT to leave Sydney for Santiago</t>
  </si>
  <si>
    <t>QF27</t>
  </si>
  <si>
    <t>Santiago</t>
  </si>
  <si>
    <t>Mark/JT land in Santiago</t>
  </si>
  <si>
    <t>Lunch</t>
  </si>
  <si>
    <t>Evening</t>
  </si>
  <si>
    <t>Explore Santiago</t>
  </si>
  <si>
    <t>Night</t>
  </si>
  <si>
    <t>Santiago Airport</t>
  </si>
  <si>
    <t>Go back to airport to sleep</t>
  </si>
  <si>
    <t>Mark/JT Fly to RDJ</t>
  </si>
  <si>
    <t>JetSMART</t>
  </si>
  <si>
    <t>Rio</t>
  </si>
  <si>
    <t>Mark/JT land in RDJ</t>
  </si>
  <si>
    <t>Tokyo</t>
  </si>
  <si>
    <t>Taichi/John to depart Tokyo</t>
  </si>
  <si>
    <t>EK313 (10h35m)</t>
  </si>
  <si>
    <t>Dubai</t>
  </si>
  <si>
    <t>(Transit in Dubai)</t>
  </si>
  <si>
    <t>Taichi/John to leave Dubai for RDJ</t>
  </si>
  <si>
    <t>EK247 (14h45m)</t>
  </si>
  <si>
    <t>Taichi/John to land in RDJ (GIG)</t>
  </si>
  <si>
    <t>16:30 ish</t>
  </si>
  <si>
    <t>*Meet the lads*</t>
  </si>
  <si>
    <t>Check-in at Windsor Palace Copacabana</t>
  </si>
  <si>
    <t>30min by car from GIG</t>
  </si>
  <si>
    <t>Windsor Palace Copacabana</t>
  </si>
  <si>
    <t>Check-out, head to GIG T2</t>
  </si>
  <si>
    <t>Depart Rio</t>
  </si>
  <si>
    <t>LA3339 (1h15m)</t>
  </si>
  <si>
    <t>São Paulo</t>
  </si>
  <si>
    <t>(Transit in São Paulo GRU T2)</t>
  </si>
  <si>
    <t>Leave GRU T3 for Mexico City</t>
  </si>
  <si>
    <t>LA8112 (9h10m)</t>
  </si>
  <si>
    <t>MC</t>
  </si>
  <si>
    <t>Land in MC MEX T1</t>
  </si>
  <si>
    <t>(chill in MEX)</t>
  </si>
  <si>
    <t>Fly to Monterrey (MEX T1)</t>
  </si>
  <si>
    <t>Volaris - Y4 244 (1h35m)</t>
  </si>
  <si>
    <t>Monterrey</t>
  </si>
  <si>
    <t>AC Hotel Monterrey Valle</t>
  </si>
  <si>
    <t>Land in Monterrey</t>
  </si>
  <si>
    <t>Watch Japan beat Brazil</t>
  </si>
  <si>
    <t>Match 75: Category 3
Our Customer Reference: 799755
Our Order Reference: 4166612
With Mark (FIFA)</t>
  </si>
  <si>
    <t>Mark</t>
  </si>
  <si>
    <t>Fly to Mexico City</t>
  </si>
  <si>
    <t>Volaris - Y4 243 (1h33m)</t>
  </si>
  <si>
    <t>Land in Mexico City</t>
  </si>
  <si>
    <t>La Campechana Residencial, in the heart of Roma and Condesa</t>
  </si>
  <si>
    <t>Check-in at La Campechana Residencial, in the heart of Roma and Condesa</t>
  </si>
  <si>
    <t>20min by car from MEX</t>
  </si>
  <si>
    <t>Fly to NY</t>
  </si>
  <si>
    <t>AA2996</t>
  </si>
  <si>
    <t>+92,000 JAL mileage points</t>
  </si>
  <si>
    <t>Taichi</t>
  </si>
  <si>
    <t>NY</t>
  </si>
  <si>
    <t>Land in NY</t>
  </si>
  <si>
    <t>4 July, this is gonna be wild</t>
  </si>
  <si>
    <t>M91 W76 vs W78 With John viagogo</t>
  </si>
  <si>
    <t>Go home somehow</t>
  </si>
  <si>
    <t>Key Activities</t>
  </si>
  <si>
    <t>Cost Per Person Breakdown</t>
  </si>
  <si>
    <t>Cost Per Person Estimate</t>
  </si>
  <si>
    <t>Group Cost (4 pax)</t>
  </si>
  <si>
    <t>Match Ticket</t>
  </si>
  <si>
    <t>Match Ticket Price</t>
  </si>
  <si>
    <t>Accomodation Prices</t>
  </si>
  <si>
    <t>Food/Transport Prices</t>
  </si>
  <si>
    <t>Fly into Los Angeles (LAX)</t>
  </si>
  <si>
    <t>4 pax arriving from KL / Tokyo / Perth / Sydney</t>
  </si>
  <si>
    <t>—</t>
  </si>
  <si>
    <r>
      <rPr>
        <rFont val="Calibri"/>
        <b/>
        <color theme="1"/>
        <sz val="11.0"/>
      </rPr>
      <t>24–27 June</t>
    </r>
    <r>
      <rPr>
        <rFont val="Calibri"/>
        <b val="0"/>
        <color theme="1"/>
        <sz val="11.0"/>
      </rPr>
      <t xml:space="preserve"> (3 nights)</t>
    </r>
  </si>
  <si>
    <t>Los Angeles</t>
  </si>
  <si>
    <t>Group Stage Match (M59 – 25 June)</t>
  </si>
  <si>
    <r>
      <rPr>
        <rFont val="Calibri"/>
        <b/>
        <color theme="1"/>
        <sz val="11.0"/>
      </rPr>
      <t xml:space="preserve">Accommodation: </t>
    </r>
    <r>
      <rPr>
        <rFont val="Calibri"/>
        <b val="0"/>
        <color theme="1"/>
        <sz val="11.0"/>
      </rPr>
      <t xml:space="preserve">146.75
</t>
    </r>
    <r>
      <rPr>
        <rFont val="Calibri"/>
        <b/>
        <color theme="1"/>
        <sz val="11.0"/>
      </rPr>
      <t>Food/Transport:</t>
    </r>
    <r>
      <rPr>
        <rFont val="Calibri"/>
        <b val="0"/>
        <color theme="1"/>
        <sz val="11.0"/>
      </rPr>
      <t xml:space="preserve"> 140
</t>
    </r>
    <r>
      <rPr>
        <rFont val="Calibri"/>
        <b/>
        <color theme="1"/>
        <sz val="11.0"/>
      </rPr>
      <t>Ticket: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470
LA Subtotal: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756.75</t>
    </r>
  </si>
  <si>
    <t>M59</t>
  </si>
  <si>
    <t>Example</t>
  </si>
  <si>
    <t>Flight LAX → Mexico City</t>
  </si>
  <si>
    <t>Direct cheapest flight</t>
  </si>
  <si>
    <r>
      <rPr>
        <rFont val="Calibri"/>
        <b/>
        <color theme="1"/>
        <sz val="11.0"/>
      </rPr>
      <t>27 June – 1 July</t>
    </r>
    <r>
      <rPr>
        <rFont val="Calibri"/>
        <b val="0"/>
        <color theme="1"/>
        <sz val="11.0"/>
      </rPr>
      <t xml:space="preserve"> (4 nights)</t>
    </r>
  </si>
  <si>
    <t>Mexico City</t>
  </si>
  <si>
    <t>Round of 32 Match (M79 – 30 June)</t>
  </si>
  <si>
    <r>
      <rPr>
        <rFont val="Calibri"/>
        <b/>
        <color theme="1"/>
        <sz val="11.0"/>
      </rPr>
      <t>Accommodation:</t>
    </r>
    <r>
      <rPr>
        <rFont val="Calibri"/>
        <b val="0"/>
        <color theme="1"/>
        <sz val="11.0"/>
      </rPr>
      <t xml:space="preserve"> 132
</t>
    </r>
    <r>
      <rPr>
        <rFont val="Calibri"/>
        <b/>
        <color theme="1"/>
        <sz val="11.0"/>
      </rPr>
      <t>Food/Transport:</t>
    </r>
    <r>
      <rPr>
        <rFont val="Calibri"/>
        <b val="0"/>
        <color theme="1"/>
        <sz val="11.0"/>
      </rPr>
      <t xml:space="preserve"> 200
</t>
    </r>
    <r>
      <rPr>
        <rFont val="Calibri"/>
        <b/>
        <color theme="1"/>
        <sz val="11.0"/>
      </rPr>
      <t>Ticket: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700
Mexico Subtotal: 1032.50</t>
    </r>
  </si>
  <si>
    <t>M79</t>
  </si>
  <si>
    <t>Flight Mexico City → New York City</t>
  </si>
  <si>
    <t>Flight</t>
  </si>
  <si>
    <r>
      <rPr>
        <rFont val="Calibri"/>
        <b/>
        <color theme="1"/>
        <sz val="11.0"/>
      </rPr>
      <t>2–6 July</t>
    </r>
    <r>
      <rPr>
        <rFont val="Calibri"/>
        <b val="0"/>
        <color theme="1"/>
        <sz val="11.0"/>
      </rPr>
      <t xml:space="preserve"> (4 nights)</t>
    </r>
  </si>
  <si>
    <t>New York City</t>
  </si>
  <si>
    <t>Round of 16 Match (M91 – 5 July)</t>
  </si>
  <si>
    <r>
      <rPr>
        <rFont val="Calibri"/>
        <b/>
        <color theme="1"/>
        <sz val="11.0"/>
      </rPr>
      <t>Accommodation:</t>
    </r>
    <r>
      <rPr>
        <rFont val="Calibri"/>
        <b val="0"/>
        <color theme="1"/>
        <sz val="11.0"/>
      </rPr>
      <t xml:space="preserve"> 278.50
</t>
    </r>
    <r>
      <rPr>
        <rFont val="Calibri"/>
        <b/>
        <color theme="1"/>
        <sz val="11.0"/>
      </rPr>
      <t>Food/Transport:</t>
    </r>
    <r>
      <rPr>
        <rFont val="Calibri"/>
        <b val="0"/>
        <color theme="1"/>
        <sz val="11.0"/>
      </rPr>
      <t xml:space="preserve"> 320
</t>
    </r>
    <r>
      <rPr>
        <rFont val="Calibri"/>
        <b/>
        <color theme="1"/>
        <sz val="11.0"/>
      </rPr>
      <t>Ticket: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500
NYC Subtotal: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1,098.50</t>
    </r>
  </si>
  <si>
    <t>M91</t>
  </si>
  <si>
    <t>Flight NYC → Vancouver</t>
  </si>
  <si>
    <r>
      <rPr>
        <rFont val="Calibri"/>
        <b/>
        <color theme="1"/>
        <sz val="11.0"/>
      </rPr>
      <t>6–9 July</t>
    </r>
    <r>
      <rPr>
        <rFont val="Calibri"/>
        <b val="0"/>
        <color theme="1"/>
        <sz val="11.0"/>
      </rPr>
      <t xml:space="preserve"> (3 nights)</t>
    </r>
  </si>
  <si>
    <t>Vancouver</t>
  </si>
  <si>
    <t>Round of 16 Match (M96 – 7 July)</t>
  </si>
  <si>
    <r>
      <rPr>
        <rFont val="Calibri"/>
        <b/>
        <color theme="1"/>
        <sz val="11.0"/>
      </rPr>
      <t>Accommodation:</t>
    </r>
    <r>
      <rPr>
        <rFont val="Calibri"/>
        <b val="0"/>
        <color theme="1"/>
        <sz val="11.0"/>
      </rPr>
      <t xml:space="preserve"> 211.25
</t>
    </r>
    <r>
      <rPr>
        <rFont val="Calibri"/>
        <b/>
        <color theme="1"/>
        <sz val="11.0"/>
      </rPr>
      <t>Food/Transport:</t>
    </r>
    <r>
      <rPr>
        <rFont val="Calibri"/>
        <b val="0"/>
        <color theme="1"/>
        <sz val="11.0"/>
      </rPr>
      <t xml:space="preserve"> 210
</t>
    </r>
    <r>
      <rPr>
        <rFont val="Calibri"/>
        <b/>
        <color theme="1"/>
        <sz val="11.0"/>
      </rPr>
      <t>Ticket: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525
Vancouver Subtotal:</t>
    </r>
    <r>
      <rPr>
        <rFont val="Calibri"/>
        <b val="0"/>
        <color theme="1"/>
        <sz val="11.0"/>
      </rPr>
      <t xml:space="preserve"> 946.25</t>
    </r>
  </si>
  <si>
    <t>M96</t>
  </si>
  <si>
    <t>Depart Vancouver</t>
  </si>
  <si>
    <t>Fly home (not included in estimate)</t>
  </si>
  <si>
    <t>Ticket application number</t>
  </si>
  <si>
    <t>23-27 - Vanc</t>
  </si>
  <si>
    <t xml:space="preserve">26 GS </t>
  </si>
  <si>
    <r>
      <rPr>
        <rFont val="Calibri"/>
        <b/>
        <color theme="1"/>
        <sz val="11.0"/>
      </rPr>
      <t>27 June – 2 July</t>
    </r>
    <r>
      <rPr>
        <rFont val="Calibri"/>
        <b val="0"/>
        <color theme="1"/>
        <sz val="11.0"/>
      </rPr>
      <t xml:space="preserve"> (5 nights)</t>
    </r>
  </si>
  <si>
    <t>Mexico City (monterrey)</t>
  </si>
  <si>
    <t>Round of 32 Match (M75 – 29 June)</t>
  </si>
  <si>
    <r>
      <rPr>
        <rFont val="Calibri"/>
        <b/>
        <color theme="1"/>
        <sz val="11.0"/>
      </rPr>
      <t>Accommodation:</t>
    </r>
    <r>
      <rPr>
        <rFont val="Calibri"/>
        <b val="0"/>
        <color theme="1"/>
        <sz val="11.0"/>
      </rPr>
      <t xml:space="preserve"> 132
</t>
    </r>
    <r>
      <rPr>
        <rFont val="Calibri"/>
        <b/>
        <color theme="1"/>
        <sz val="11.0"/>
      </rPr>
      <t>Food/Transport:</t>
    </r>
    <r>
      <rPr>
        <rFont val="Calibri"/>
        <b val="0"/>
        <color theme="1"/>
        <sz val="11.0"/>
      </rPr>
      <t xml:space="preserve"> 200
</t>
    </r>
    <r>
      <rPr>
        <rFont val="Calibri"/>
        <b/>
        <color theme="1"/>
        <sz val="11.0"/>
      </rPr>
      <t>Ticket: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700
Mexico Subtotal: 1032.50</t>
    </r>
  </si>
  <si>
    <t>Mark paid ticket</t>
  </si>
  <si>
    <t>AUD 4794.40</t>
  </si>
  <si>
    <r>
      <rPr>
        <rFont val="Calibri"/>
        <b/>
        <color theme="1"/>
        <sz val="11.0"/>
      </rPr>
      <t>2–6 July</t>
    </r>
    <r>
      <rPr>
        <rFont val="Calibri"/>
        <b val="0"/>
        <color theme="1"/>
        <sz val="11.0"/>
      </rPr>
      <t xml:space="preserve"> (4 nights)</t>
    </r>
  </si>
  <si>
    <r>
      <rPr>
        <rFont val="Calibri"/>
        <b/>
        <color theme="1"/>
        <sz val="11.0"/>
      </rPr>
      <t>Accommodation:</t>
    </r>
    <r>
      <rPr>
        <rFont val="Calibri"/>
        <b val="0"/>
        <color theme="1"/>
        <sz val="11.0"/>
      </rPr>
      <t xml:space="preserve"> 278.50
</t>
    </r>
    <r>
      <rPr>
        <rFont val="Calibri"/>
        <b/>
        <color theme="1"/>
        <sz val="11.0"/>
      </rPr>
      <t>Food/Transport:</t>
    </r>
    <r>
      <rPr>
        <rFont val="Calibri"/>
        <b val="0"/>
        <color theme="1"/>
        <sz val="11.0"/>
      </rPr>
      <t xml:space="preserve"> 320
</t>
    </r>
    <r>
      <rPr>
        <rFont val="Calibri"/>
        <b/>
        <color theme="1"/>
        <sz val="11.0"/>
      </rPr>
      <t>Ticket: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500
NYC Subtotal:</t>
    </r>
    <r>
      <rPr>
        <rFont val="Calibri"/>
        <b val="0"/>
        <color theme="1"/>
        <sz val="11.0"/>
      </rPr>
      <t xml:space="preserve"> </t>
    </r>
    <r>
      <rPr>
        <rFont val="Calibri"/>
        <b/>
        <color theme="1"/>
        <sz val="11.0"/>
      </rPr>
      <t>1,098.50</t>
    </r>
  </si>
  <si>
    <t>Football Assocation</t>
  </si>
  <si>
    <t>Price to join</t>
  </si>
  <si>
    <t>Requirements</t>
  </si>
  <si>
    <t>Match 1</t>
  </si>
  <si>
    <t>Match 2</t>
  </si>
  <si>
    <t>Match 3</t>
  </si>
  <si>
    <t>Website</t>
  </si>
  <si>
    <t>Australia 🇦🇺</t>
  </si>
  <si>
    <t>AUD99</t>
  </si>
  <si>
    <t>None</t>
  </si>
  <si>
    <t>AUS v EUROPE</t>
  </si>
  <si>
    <t>AUS v USA</t>
  </si>
  <si>
    <t>Seattle</t>
  </si>
  <si>
    <t>AUS v PAR</t>
  </si>
  <si>
    <t>San Francisco</t>
  </si>
  <si>
    <t>https://footballaustralia.com.au/fifa-world-cup-ticket-allocation-fa-plus-members</t>
  </si>
  <si>
    <t>Iran</t>
  </si>
  <si>
    <t>Japan</t>
  </si>
  <si>
    <t>South Korea</t>
  </si>
  <si>
    <t>Austria</t>
  </si>
  <si>
    <t>Belgium</t>
  </si>
  <si>
    <t>Croatia</t>
  </si>
  <si>
    <t>England</t>
  </si>
  <si>
    <t>France</t>
  </si>
  <si>
    <t>Germany</t>
  </si>
  <si>
    <t>Netherlands</t>
  </si>
  <si>
    <t>Norway</t>
  </si>
  <si>
    <t>Portugal</t>
  </si>
  <si>
    <t>Scotland</t>
  </si>
  <si>
    <t>Spain</t>
  </si>
  <si>
    <t>Switzerland</t>
  </si>
  <si>
    <t>New Zealand</t>
  </si>
  <si>
    <t>Nil</t>
  </si>
  <si>
    <t>NZ v Iran</t>
  </si>
  <si>
    <t>NZ v Egypt</t>
  </si>
  <si>
    <t>NZ v 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</si>
</sst>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/&quot;d&quot;/&quot;yyyy"/>
    <numFmt numFmtId="165" formatCode="[$USD]\ #,##0.00"/>
  </numFmts>
  <fonts count="18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u/>
      <color theme="1"/>
      <name val="Calibri"/>
      <scheme val="minor"/>
    </font>
    <font>
      <color theme="1"/>
      <name val="Calibri"/>
      <scheme val="minor"/>
    </font>
    <font>
      <color rgb="FF0B5394"/>
      <name val="Calibri"/>
      <scheme val="minor"/>
    </font>
    <font>
      <b/>
      <color rgb="FF0B5394"/>
      <name val="Calibri"/>
      <scheme val="minor"/>
    </font>
    <font>
      <color rgb="FF990000"/>
      <name val="Calibri"/>
      <scheme val="minor"/>
    </font>
    <font>
      <b/>
      <color rgb="FF990000"/>
      <name val="Calibri"/>
      <scheme val="minor"/>
    </font>
    <font>
      <u/>
      <color rgb="FF0000FF"/>
    </font>
    <font>
      <color rgb="FF000000"/>
      <name val="Calibri"/>
      <scheme val="minor"/>
    </font>
    <font>
      <color rgb="FFFF0000"/>
      <name val="Calibri"/>
      <scheme val="minor"/>
    </font>
    <font>
      <sz val="11.0"/>
      <color theme="1"/>
      <name val="Calibri"/>
    </font>
    <font>
      <u/>
      <sz val="11.0"/>
      <color theme="10"/>
      <name val="Calibri"/>
    </font>
    <font>
      <sz val="11.0"/>
      <color theme="10"/>
      <name val="Calibri"/>
    </font>
    <font>
      <b/>
      <color theme="1"/>
      <name val="Arial"/>
    </font>
    <font>
      <color theme="1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E5B8B7"/>
        <bgColor rgb="FFE5B8B7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0" xfId="0" applyAlignment="1" applyFont="1" applyNumberFormat="1">
      <alignment readingOrder="0"/>
    </xf>
    <xf borderId="0" fillId="0" fontId="5" numFmtId="0" xfId="0" applyFont="1"/>
    <xf borderId="0" fillId="0" fontId="4" numFmtId="3" xfId="0" applyFont="1" applyNumberFormat="1"/>
    <xf borderId="0" fillId="0" fontId="6" numFmtId="0" xfId="0" applyAlignment="1" applyFon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20" xfId="0" applyAlignment="1" applyFont="1" applyNumberForma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0" fillId="0" fontId="8" numFmtId="20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20" xfId="0" applyAlignment="1" applyFont="1" applyNumberFormat="1">
      <alignment readingOrder="0"/>
    </xf>
    <xf borderId="0" fillId="0" fontId="11" numFmtId="20" xfId="0" applyAlignment="1" applyFont="1" applyNumberFormat="1">
      <alignment readingOrder="0"/>
    </xf>
    <xf borderId="0" fillId="0" fontId="11" numFmtId="0" xfId="0" applyFont="1"/>
    <xf borderId="0" fillId="0" fontId="11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quotePrefix="1" borderId="0" fillId="0" fontId="4" numFmtId="0" xfId="0" applyAlignment="1" applyFont="1">
      <alignment readingOrder="0"/>
    </xf>
    <xf borderId="0" fillId="3" fontId="4" numFmtId="0" xfId="0" applyFill="1" applyFont="1"/>
    <xf borderId="1" fillId="4" fontId="1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0" fontId="1" numFmtId="16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left" shrinkToFit="0" vertical="center" wrapText="1"/>
    </xf>
    <xf borderId="1" fillId="0" fontId="12" numFmtId="0" xfId="0" applyAlignment="1" applyBorder="1" applyFont="1">
      <alignment vertical="center"/>
    </xf>
    <xf borderId="1" fillId="0" fontId="13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2" fillId="7" fontId="1" numFmtId="165" xfId="0" applyAlignment="1" applyBorder="1" applyFill="1" applyFont="1" applyNumberForma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0" fillId="0" fontId="14" numFmtId="0" xfId="0" applyAlignment="1" applyFont="1">
      <alignment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5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nZNwsBXugsXr4Yhk8" TargetMode="External"/><Relationship Id="rId2" Type="http://schemas.openxmlformats.org/officeDocument/2006/relationships/hyperlink" Target="https://maps.app.goo.gl/1BdjF1idGJiFwyNW8" TargetMode="External"/><Relationship Id="rId3" Type="http://schemas.openxmlformats.org/officeDocument/2006/relationships/hyperlink" Target="https://maps.app.goo.gl/zE28zoRWb92YRjor5?g_st=ic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agogo.com/ww/Sports-Tickets/Soccer/Soccer-Tournament/Soccer-World-Cup-Tickets/E-153020718" TargetMode="External"/><Relationship Id="rId2" Type="http://schemas.openxmlformats.org/officeDocument/2006/relationships/hyperlink" Target="https://www.airbnb.ca/rooms/596397416121345319?adults=4&amp;check_in=2026-06-24&amp;check_out=2026-06-27&amp;location=Los%20Angeles%2C%20California%2C%20United%20States&amp;search_mode=regular_search&amp;source_impression_id=p3_1764089021_P3GMV-PxeyOIWEaC&amp;previous_page_section_name=1001&amp;federated_search_id=af6d5abf-68f0-4e4e-abd7-552e5f515dbc" TargetMode="External"/><Relationship Id="rId3" Type="http://schemas.openxmlformats.org/officeDocument/2006/relationships/hyperlink" Target="https://www.viagogo.com/ww/Sports-Tickets/Soccer/Soccer-Tournament/Soccer-World-Cup-Tickets/E-153033506" TargetMode="External"/><Relationship Id="rId4" Type="http://schemas.openxmlformats.org/officeDocument/2006/relationships/hyperlink" Target="https://www.airbnb.ca/rooms/1082902101213506129?adults=4&amp;check_in=2026-06-27&amp;check_out=2026-07-01&amp;search_mode=regular_search&amp;source_impression_id=p3_1764089242_P3viRti-uBW5tHuX&amp;previous_page_section_name=1000&amp;federated_search_id=2ea65af8-e509-4c3f-9e66-ee54b977c260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www.viagogo.com/ww/Sports-Tickets/Soccer/Soccer-Tournament/Soccer-World-Cup-Tickets/E-153023886" TargetMode="External"/><Relationship Id="rId6" Type="http://schemas.openxmlformats.org/officeDocument/2006/relationships/hyperlink" Target="https://www.airbnb.ca/rooms/1102299689722653894?adults=4&amp;check_in=2026-07-02&amp;check_out=2026-07-06&amp;location=New%20York%20City%2C%20New%20York%2C%20United%20States&amp;search_mode=regular_search&amp;category_tag=Tag%3A8678&amp;photo_id=1864944303&amp;source_impression_id=p3_1764089460_P3Yl-1d80ryqA7it&amp;previous_page_section_name=1001&amp;federated_search_id=7dd087ac-96b0-4f37-a784-91b190069620" TargetMode="External"/><Relationship Id="rId7" Type="http://schemas.openxmlformats.org/officeDocument/2006/relationships/hyperlink" Target="https://www.viagogo.com/ww/Sports-Tickets/Soccer/Soccer-Tournament/Soccer-World-Cup-Tickets/E-153020500?quantity=4" TargetMode="External"/><Relationship Id="rId8" Type="http://schemas.openxmlformats.org/officeDocument/2006/relationships/hyperlink" Target="https://www.airbnb.ca/rooms/1009392766129570885?adults=4&amp;check_in=2026-07-06&amp;check_out=2026-07-09&amp;search_mode=regular_search&amp;category_tag=Tag%3A8678&amp;photo_id=1766463810&amp;source_impression_id=p3_1764089729_P38L8JnDI8e10tfS&amp;previous_page_section_name=1000&amp;federated_search_id=73f52024-3418-4b08-830c-202b872315a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iagogo.com/ww/Sports-Tickets/Soccer/Soccer-Tournament/Soccer-World-Cup-Tickets/E-153033506" TargetMode="External"/><Relationship Id="rId2" Type="http://schemas.openxmlformats.org/officeDocument/2006/relationships/hyperlink" Target="https://www.airbnb.ca/rooms/1082902101213506129?adults=4&amp;check_in=2026-06-27&amp;check_out=2026-07-01&amp;search_mode=regular_search&amp;source_impression_id=p3_1764089242_P3viRti-uBW5tHuX&amp;previous_page_section_name=1000&amp;federated_search_id=2ea65af8-e509-4c3f-9e66-ee54b977c260" TargetMode="External"/><Relationship Id="rId3" Type="http://schemas.openxmlformats.org/officeDocument/2006/relationships/hyperlink" Target="https://www.viagogo.com/ww/Sports-Tickets/Soccer/Soccer-Tournament/Soccer-World-Cup-Tickets/E-153023886" TargetMode="External"/><Relationship Id="rId4" Type="http://schemas.openxmlformats.org/officeDocument/2006/relationships/hyperlink" Target="https://www.airbnb.ca/rooms/1102299689722653894?adults=4&amp;check_in=2026-07-02&amp;check_out=2026-07-06&amp;location=New%20York%20City%2C%20New%20York%2C%20United%20States&amp;search_mode=regular_search&amp;category_tag=Tag%3A8678&amp;photo_id=1864944303&amp;source_impression_id=p3_1764089460_P3Yl-1d80ryqA7it&amp;previous_page_section_name=1001&amp;federated_search_id=7dd087ac-96b0-4f37-a784-91b190069620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footballaustralia.com.au/fifa-world-cup-ticket-allocation-fa-plus-members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5.0"/>
    <col customWidth="1" min="5" max="5" width="35.86"/>
    <col customWidth="1" min="6" max="6" width="32.29"/>
  </cols>
  <sheetData>
    <row r="1">
      <c r="A1" s="1" t="s">
        <v>0</v>
      </c>
      <c r="H1" s="2" t="s">
        <v>1</v>
      </c>
    </row>
    <row r="2">
      <c r="A2" s="1" t="s">
        <v>2</v>
      </c>
      <c r="B2" s="1" t="s">
        <v>3</v>
      </c>
      <c r="C2" s="3" t="s">
        <v>4</v>
      </c>
      <c r="D2" s="1" t="s">
        <v>5</v>
      </c>
      <c r="E2" s="1" t="s">
        <v>6</v>
      </c>
      <c r="F2" s="1" t="s">
        <v>7</v>
      </c>
      <c r="H2" s="4" t="s">
        <v>8</v>
      </c>
      <c r="I2" s="4" t="s">
        <v>9</v>
      </c>
      <c r="J2" s="4" t="s">
        <v>10</v>
      </c>
      <c r="L2" s="5" t="s">
        <v>11</v>
      </c>
    </row>
    <row r="3">
      <c r="A3" s="6">
        <v>46195.0</v>
      </c>
      <c r="B3" s="7" t="s">
        <v>12</v>
      </c>
      <c r="C3" s="8">
        <v>0.9965277777777778</v>
      </c>
      <c r="D3" s="9"/>
      <c r="E3" s="7" t="s">
        <v>13</v>
      </c>
      <c r="F3" s="7" t="s">
        <v>14</v>
      </c>
      <c r="H3" s="10"/>
      <c r="I3" s="10"/>
      <c r="J3" s="10"/>
    </row>
    <row r="4" ht="14.25" customHeight="1">
      <c r="A4" s="6">
        <v>46196.0</v>
      </c>
      <c r="B4" s="7" t="s">
        <v>15</v>
      </c>
      <c r="C4" s="8">
        <v>0.5138888888888888</v>
      </c>
      <c r="D4" s="9"/>
      <c r="E4" s="7" t="s">
        <v>16</v>
      </c>
      <c r="F4" s="7" t="s">
        <v>17</v>
      </c>
      <c r="H4" s="10"/>
      <c r="I4" s="10"/>
      <c r="J4" s="10"/>
    </row>
    <row r="5">
      <c r="A5" s="6"/>
      <c r="B5" s="7" t="s">
        <v>18</v>
      </c>
      <c r="C5" s="8">
        <v>0.4513888888888889</v>
      </c>
      <c r="D5" s="9"/>
      <c r="E5" s="7" t="s">
        <v>19</v>
      </c>
      <c r="F5" s="9"/>
      <c r="H5" s="10"/>
      <c r="I5" s="10"/>
      <c r="J5" s="10"/>
    </row>
    <row r="6">
      <c r="A6" s="6"/>
      <c r="B6" s="9"/>
      <c r="C6" s="7" t="s">
        <v>20</v>
      </c>
      <c r="D6" s="9"/>
      <c r="E6" s="9"/>
      <c r="F6" s="9"/>
      <c r="H6" s="10"/>
      <c r="I6" s="10"/>
      <c r="J6" s="10"/>
    </row>
    <row r="7">
      <c r="A7" s="6"/>
      <c r="B7" s="9"/>
      <c r="C7" s="7" t="s">
        <v>21</v>
      </c>
      <c r="D7" s="9"/>
      <c r="E7" s="7" t="s">
        <v>22</v>
      </c>
      <c r="F7" s="9"/>
      <c r="H7" s="10"/>
      <c r="I7" s="10"/>
      <c r="J7" s="10"/>
    </row>
    <row r="8">
      <c r="A8" s="6"/>
      <c r="B8" s="9"/>
      <c r="C8" s="7" t="s">
        <v>23</v>
      </c>
      <c r="D8" s="7" t="s">
        <v>24</v>
      </c>
      <c r="E8" s="7" t="s">
        <v>25</v>
      </c>
      <c r="F8" s="9"/>
      <c r="H8" s="10"/>
      <c r="I8" s="10"/>
      <c r="J8" s="10"/>
    </row>
    <row r="9">
      <c r="A9" s="6">
        <v>46197.0</v>
      </c>
      <c r="B9" s="7" t="s">
        <v>18</v>
      </c>
      <c r="C9" s="8">
        <v>0.20972222222222223</v>
      </c>
      <c r="D9" s="9"/>
      <c r="E9" s="7" t="s">
        <v>26</v>
      </c>
      <c r="F9" s="7" t="s">
        <v>27</v>
      </c>
      <c r="H9" s="10"/>
      <c r="I9" s="10"/>
      <c r="J9" s="10"/>
    </row>
    <row r="10">
      <c r="A10" s="6"/>
      <c r="B10" s="11" t="s">
        <v>28</v>
      </c>
      <c r="C10" s="12">
        <v>0.4236111111111111</v>
      </c>
      <c r="D10" s="9"/>
      <c r="E10" s="7" t="s">
        <v>29</v>
      </c>
      <c r="F10" s="9"/>
      <c r="H10" s="10"/>
      <c r="I10" s="10"/>
      <c r="J10" s="10"/>
    </row>
    <row r="11">
      <c r="A11" s="6"/>
      <c r="H11" s="10"/>
      <c r="I11" s="10"/>
      <c r="J11" s="10"/>
    </row>
    <row r="12">
      <c r="A12" s="6"/>
      <c r="B12" s="13" t="s">
        <v>30</v>
      </c>
      <c r="C12" s="14">
        <v>0.003472222222222222</v>
      </c>
      <c r="D12" s="15"/>
      <c r="E12" s="13" t="s">
        <v>31</v>
      </c>
      <c r="F12" s="13" t="s">
        <v>32</v>
      </c>
      <c r="H12" s="10"/>
      <c r="I12" s="10"/>
      <c r="J12" s="10"/>
    </row>
    <row r="13">
      <c r="A13" s="6"/>
      <c r="B13" s="13" t="s">
        <v>33</v>
      </c>
      <c r="C13" s="14">
        <v>0.2361111111111111</v>
      </c>
      <c r="D13" s="15"/>
      <c r="E13" s="13" t="s">
        <v>34</v>
      </c>
      <c r="F13" s="13"/>
      <c r="H13" s="10"/>
      <c r="I13" s="10"/>
      <c r="J13" s="10"/>
    </row>
    <row r="14">
      <c r="A14" s="6"/>
      <c r="B14" s="13" t="s">
        <v>33</v>
      </c>
      <c r="C14" s="14">
        <v>0.3368055555555556</v>
      </c>
      <c r="D14" s="15"/>
      <c r="E14" s="13" t="s">
        <v>35</v>
      </c>
      <c r="F14" s="13" t="s">
        <v>36</v>
      </c>
      <c r="H14" s="10"/>
      <c r="I14" s="10"/>
      <c r="J14" s="10"/>
    </row>
    <row r="15">
      <c r="A15" s="6"/>
      <c r="B15" s="16" t="s">
        <v>28</v>
      </c>
      <c r="C15" s="17">
        <v>0.6597222222222222</v>
      </c>
      <c r="D15" s="15"/>
      <c r="E15" s="13" t="s">
        <v>37</v>
      </c>
      <c r="F15" s="15"/>
      <c r="H15" s="10"/>
      <c r="I15" s="10"/>
      <c r="J15" s="10"/>
    </row>
    <row r="16">
      <c r="A16" s="6"/>
      <c r="E16" s="5"/>
      <c r="H16" s="10"/>
      <c r="I16" s="10"/>
      <c r="J16" s="10"/>
    </row>
    <row r="17">
      <c r="A17" s="6"/>
      <c r="C17" s="18" t="s">
        <v>38</v>
      </c>
      <c r="E17" s="5" t="s">
        <v>39</v>
      </c>
      <c r="H17" s="10"/>
      <c r="I17" s="10"/>
      <c r="J17" s="10"/>
    </row>
    <row r="18">
      <c r="A18" s="6"/>
      <c r="E18" s="5" t="s">
        <v>40</v>
      </c>
      <c r="F18" s="5" t="s">
        <v>41</v>
      </c>
      <c r="H18" s="10"/>
      <c r="I18" s="10"/>
      <c r="J18" s="10"/>
    </row>
    <row r="19">
      <c r="A19" s="6"/>
      <c r="D19" s="19" t="s">
        <v>42</v>
      </c>
      <c r="H19" s="10"/>
      <c r="I19" s="10"/>
      <c r="J19" s="10"/>
    </row>
    <row r="20">
      <c r="A20" s="6">
        <v>46198.0</v>
      </c>
      <c r="B20" s="5" t="s">
        <v>28</v>
      </c>
      <c r="D20" s="5" t="s">
        <v>42</v>
      </c>
      <c r="H20" s="10"/>
      <c r="I20" s="10"/>
      <c r="J20" s="10"/>
    </row>
    <row r="21">
      <c r="A21" s="6">
        <v>46199.0</v>
      </c>
      <c r="B21" s="5" t="s">
        <v>28</v>
      </c>
      <c r="D21" s="5" t="s">
        <v>42</v>
      </c>
      <c r="H21" s="10"/>
      <c r="I21" s="10"/>
      <c r="J21" s="10"/>
    </row>
    <row r="22">
      <c r="A22" s="6">
        <v>46200.0</v>
      </c>
      <c r="B22" s="5" t="s">
        <v>28</v>
      </c>
      <c r="D22" s="5" t="s">
        <v>42</v>
      </c>
      <c r="H22" s="10"/>
      <c r="I22" s="10"/>
      <c r="J22" s="10"/>
    </row>
    <row r="23">
      <c r="A23" s="6">
        <v>46201.0</v>
      </c>
      <c r="B23" s="20" t="s">
        <v>28</v>
      </c>
      <c r="C23" s="21">
        <v>0.0625</v>
      </c>
      <c r="E23" s="5" t="s">
        <v>43</v>
      </c>
      <c r="H23" s="10"/>
      <c r="I23" s="10"/>
      <c r="J23" s="10"/>
    </row>
    <row r="24">
      <c r="B24" s="20" t="s">
        <v>28</v>
      </c>
      <c r="C24" s="22">
        <v>0.2013888888888889</v>
      </c>
      <c r="D24" s="23"/>
      <c r="E24" s="24" t="s">
        <v>44</v>
      </c>
      <c r="F24" s="24" t="s">
        <v>45</v>
      </c>
      <c r="H24" s="10"/>
      <c r="I24" s="10"/>
      <c r="J24" s="10"/>
    </row>
    <row r="25">
      <c r="B25" s="24" t="s">
        <v>46</v>
      </c>
      <c r="C25" s="22">
        <v>0.2534722222222222</v>
      </c>
      <c r="D25" s="23"/>
      <c r="E25" s="24" t="s">
        <v>47</v>
      </c>
      <c r="F25" s="5"/>
      <c r="H25" s="10"/>
      <c r="I25" s="10"/>
      <c r="J25" s="10"/>
    </row>
    <row r="26">
      <c r="B26" s="24" t="s">
        <v>46</v>
      </c>
      <c r="C26" s="22">
        <v>0.3645833333333333</v>
      </c>
      <c r="D26" s="23"/>
      <c r="E26" s="24" t="s">
        <v>48</v>
      </c>
      <c r="F26" s="24" t="s">
        <v>49</v>
      </c>
      <c r="H26" s="10"/>
      <c r="I26" s="10"/>
      <c r="J26" s="10"/>
    </row>
    <row r="27">
      <c r="A27" s="6"/>
      <c r="B27" s="20" t="s">
        <v>50</v>
      </c>
      <c r="C27" s="22">
        <v>0.6215277777777778</v>
      </c>
      <c r="D27" s="23"/>
      <c r="E27" s="24" t="s">
        <v>51</v>
      </c>
      <c r="H27" s="10"/>
      <c r="I27" s="10"/>
      <c r="J27" s="10"/>
    </row>
    <row r="28">
      <c r="A28" s="6"/>
      <c r="B28" s="5" t="s">
        <v>50</v>
      </c>
      <c r="C28" s="25"/>
      <c r="E28" s="5" t="s">
        <v>52</v>
      </c>
      <c r="F28" s="5"/>
      <c r="H28" s="10"/>
      <c r="I28" s="10"/>
      <c r="J28" s="10"/>
    </row>
    <row r="29">
      <c r="A29" s="6"/>
      <c r="B29" s="5" t="s">
        <v>50</v>
      </c>
      <c r="C29" s="25">
        <v>0.8229166666666666</v>
      </c>
      <c r="E29" s="5" t="s">
        <v>53</v>
      </c>
      <c r="F29" s="5" t="s">
        <v>54</v>
      </c>
      <c r="H29" s="10"/>
      <c r="I29" s="10"/>
      <c r="J29" s="10"/>
    </row>
    <row r="30">
      <c r="A30" s="6"/>
      <c r="B30" s="5" t="s">
        <v>55</v>
      </c>
      <c r="C30" s="25">
        <v>0.8888888888888888</v>
      </c>
      <c r="D30" s="19" t="s">
        <v>56</v>
      </c>
      <c r="E30" s="5" t="s">
        <v>57</v>
      </c>
      <c r="H30" s="10"/>
      <c r="I30" s="10"/>
      <c r="J30" s="10"/>
    </row>
    <row r="31">
      <c r="A31" s="6">
        <v>46202.0</v>
      </c>
      <c r="B31" s="5" t="s">
        <v>55</v>
      </c>
      <c r="E31" s="5" t="s">
        <v>58</v>
      </c>
      <c r="F31" s="5" t="s">
        <v>59</v>
      </c>
      <c r="H31" s="26">
        <v>4962.0</v>
      </c>
      <c r="I31" s="10"/>
      <c r="J31" s="10"/>
      <c r="L31" s="5" t="s">
        <v>60</v>
      </c>
    </row>
    <row r="32">
      <c r="A32" s="6"/>
      <c r="B32" s="5"/>
      <c r="C32" s="25"/>
      <c r="D32" s="5" t="s">
        <v>56</v>
      </c>
      <c r="E32" s="5"/>
      <c r="F32" s="5"/>
      <c r="H32" s="10"/>
      <c r="I32" s="10"/>
      <c r="J32" s="10"/>
    </row>
    <row r="33">
      <c r="A33" s="6"/>
      <c r="B33" s="5"/>
      <c r="C33" s="25"/>
      <c r="E33" s="5"/>
      <c r="F33" s="5"/>
      <c r="H33" s="10"/>
      <c r="I33" s="10"/>
      <c r="J33" s="10"/>
    </row>
    <row r="34">
      <c r="A34" s="6">
        <v>46203.0</v>
      </c>
      <c r="B34" s="5" t="s">
        <v>55</v>
      </c>
      <c r="C34" s="25">
        <v>0.7236111111111111</v>
      </c>
      <c r="E34" s="5" t="s">
        <v>61</v>
      </c>
      <c r="F34" s="5" t="s">
        <v>62</v>
      </c>
      <c r="H34" s="10"/>
      <c r="I34" s="10"/>
      <c r="J34" s="10"/>
    </row>
    <row r="35">
      <c r="A35" s="6"/>
      <c r="B35" s="5" t="s">
        <v>50</v>
      </c>
      <c r="C35" s="25">
        <v>0.7881944444444444</v>
      </c>
      <c r="E35" s="5" t="s">
        <v>63</v>
      </c>
      <c r="F35" s="5"/>
      <c r="H35" s="10"/>
      <c r="I35" s="10"/>
      <c r="J35" s="10"/>
    </row>
    <row r="36">
      <c r="A36" s="6"/>
      <c r="B36" s="5"/>
      <c r="C36" s="5"/>
      <c r="D36" s="19" t="s">
        <v>64</v>
      </c>
      <c r="E36" s="5" t="s">
        <v>65</v>
      </c>
      <c r="F36" s="5" t="s">
        <v>66</v>
      </c>
      <c r="H36" s="10"/>
      <c r="I36" s="10"/>
      <c r="J36" s="10"/>
    </row>
    <row r="37">
      <c r="A37" s="6">
        <v>46204.0</v>
      </c>
      <c r="B37" s="5" t="s">
        <v>50</v>
      </c>
      <c r="C37" s="5"/>
      <c r="D37" s="27" t="s">
        <v>64</v>
      </c>
      <c r="E37" s="5"/>
      <c r="H37" s="10"/>
      <c r="I37" s="10"/>
      <c r="J37" s="10"/>
    </row>
    <row r="38">
      <c r="A38" s="6">
        <v>46205.0</v>
      </c>
      <c r="B38" s="5" t="s">
        <v>50</v>
      </c>
      <c r="C38" s="5"/>
      <c r="D38" s="27" t="s">
        <v>64</v>
      </c>
      <c r="E38" s="5"/>
      <c r="H38" s="10"/>
      <c r="I38" s="10"/>
      <c r="J38" s="10"/>
    </row>
    <row r="39">
      <c r="A39" s="6">
        <v>46206.0</v>
      </c>
      <c r="B39" s="5" t="s">
        <v>50</v>
      </c>
      <c r="C39" s="5"/>
      <c r="D39" s="5"/>
      <c r="E39" s="5"/>
      <c r="H39" s="10"/>
      <c r="I39" s="10"/>
      <c r="J39" s="10"/>
    </row>
    <row r="40">
      <c r="C40" s="25">
        <v>0.9805555555555555</v>
      </c>
      <c r="E40" s="5" t="s">
        <v>67</v>
      </c>
      <c r="F40" s="5" t="s">
        <v>68</v>
      </c>
      <c r="H40" s="10"/>
      <c r="I40" s="10"/>
      <c r="J40" s="26">
        <v>60120.0</v>
      </c>
      <c r="K40" s="28" t="s">
        <v>69</v>
      </c>
      <c r="L40" s="5" t="s">
        <v>70</v>
      </c>
    </row>
    <row r="41">
      <c r="A41" s="6">
        <v>46207.0</v>
      </c>
      <c r="B41" s="5" t="s">
        <v>71</v>
      </c>
      <c r="C41" s="25">
        <v>0.26875</v>
      </c>
      <c r="D41" s="29"/>
      <c r="E41" s="5" t="s">
        <v>72</v>
      </c>
      <c r="F41" s="5" t="s">
        <v>73</v>
      </c>
      <c r="H41" s="10"/>
      <c r="I41" s="10"/>
      <c r="J41" s="10"/>
    </row>
    <row r="42">
      <c r="A42" s="6">
        <v>46208.0</v>
      </c>
      <c r="B42" s="5" t="s">
        <v>71</v>
      </c>
      <c r="D42" s="29"/>
      <c r="F42" s="5" t="s">
        <v>74</v>
      </c>
      <c r="H42" s="10"/>
      <c r="I42" s="10"/>
      <c r="J42" s="26">
        <v>684108.0</v>
      </c>
      <c r="L42" s="5" t="s">
        <v>70</v>
      </c>
    </row>
    <row r="43">
      <c r="A43" s="6">
        <v>46209.0</v>
      </c>
      <c r="B43" s="5" t="s">
        <v>71</v>
      </c>
      <c r="D43" s="29"/>
      <c r="H43" s="10"/>
      <c r="I43" s="10"/>
      <c r="J43" s="10"/>
    </row>
    <row r="44">
      <c r="A44" s="6">
        <v>46210.0</v>
      </c>
      <c r="B44" s="5" t="s">
        <v>71</v>
      </c>
      <c r="D44" s="29"/>
      <c r="E44" s="5" t="s">
        <v>75</v>
      </c>
      <c r="H44" s="10"/>
      <c r="I44" s="10"/>
      <c r="J44" s="10"/>
    </row>
  </sheetData>
  <conditionalFormatting sqref="A1:A2 B2:F2">
    <cfRule type="cellIs" dxfId="0" priority="1" operator="equal">
      <formula>0</formula>
    </cfRule>
  </conditionalFormatting>
  <hyperlinks>
    <hyperlink r:id="rId1" ref="D19"/>
    <hyperlink r:id="rId2" ref="D30"/>
    <hyperlink r:id="rId3" ref="D3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34.43"/>
    <col customWidth="1" min="4" max="5" width="33.57"/>
    <col customWidth="1" min="6" max="6" width="22.0"/>
    <col customWidth="1" min="7" max="7" width="11.57"/>
    <col customWidth="1" min="8" max="9" width="16.29"/>
    <col customWidth="1" min="10" max="10" width="18.43"/>
    <col customWidth="1" min="11" max="11" width="22.14"/>
    <col customWidth="1" min="12" max="26" width="8.71"/>
  </cols>
  <sheetData>
    <row r="1" ht="14.25" customHeight="1">
      <c r="A1" s="1" t="s">
        <v>2</v>
      </c>
      <c r="B1" s="1" t="s">
        <v>3</v>
      </c>
      <c r="C1" s="1" t="s">
        <v>76</v>
      </c>
      <c r="D1" s="1" t="s">
        <v>77</v>
      </c>
      <c r="E1" s="1" t="s">
        <v>78</v>
      </c>
      <c r="F1" s="1" t="s">
        <v>79</v>
      </c>
      <c r="G1" s="30" t="s">
        <v>80</v>
      </c>
      <c r="H1" s="30" t="s">
        <v>81</v>
      </c>
      <c r="I1" s="31" t="s">
        <v>5</v>
      </c>
      <c r="J1" s="31" t="s">
        <v>82</v>
      </c>
      <c r="K1" s="32" t="s">
        <v>83</v>
      </c>
    </row>
    <row r="2" ht="14.25" customHeight="1">
      <c r="A2" s="33">
        <v>45832.0</v>
      </c>
      <c r="B2" s="34" t="s">
        <v>84</v>
      </c>
      <c r="C2" s="35" t="s">
        <v>85</v>
      </c>
      <c r="D2" s="35" t="s">
        <v>86</v>
      </c>
      <c r="E2" s="36"/>
      <c r="F2" s="36"/>
      <c r="G2" s="37"/>
      <c r="H2" s="36"/>
      <c r="I2" s="37"/>
      <c r="J2" s="36"/>
      <c r="K2" s="36"/>
    </row>
    <row r="3" ht="14.25" customHeight="1">
      <c r="A3" s="34" t="s">
        <v>87</v>
      </c>
      <c r="B3" s="34" t="s">
        <v>88</v>
      </c>
      <c r="C3" s="35" t="s">
        <v>89</v>
      </c>
      <c r="D3" s="34" t="s">
        <v>90</v>
      </c>
      <c r="E3" s="36">
        <f>SUM(H3,J3,K3)</f>
        <v>756.75</v>
      </c>
      <c r="F3" s="36">
        <v>3538.0</v>
      </c>
      <c r="G3" s="38" t="s">
        <v>91</v>
      </c>
      <c r="H3" s="36">
        <v>470.0</v>
      </c>
      <c r="I3" s="38" t="s">
        <v>92</v>
      </c>
      <c r="J3" s="36">
        <f>587/4</f>
        <v>146.75</v>
      </c>
      <c r="K3" s="36">
        <v>140.0</v>
      </c>
    </row>
    <row r="4" ht="14.25" customHeight="1">
      <c r="A4" s="33">
        <v>45835.0</v>
      </c>
      <c r="B4" s="34" t="s">
        <v>93</v>
      </c>
      <c r="C4" s="35" t="s">
        <v>94</v>
      </c>
      <c r="D4" s="34">
        <v>300.0</v>
      </c>
      <c r="E4" s="36">
        <v>300.0</v>
      </c>
      <c r="F4" s="36">
        <v>1200.0</v>
      </c>
      <c r="G4" s="37"/>
      <c r="H4" s="36"/>
      <c r="I4" s="37"/>
      <c r="J4" s="36"/>
      <c r="K4" s="36"/>
    </row>
    <row r="5" ht="14.25" customHeight="1">
      <c r="A5" s="34" t="s">
        <v>95</v>
      </c>
      <c r="B5" s="34" t="s">
        <v>96</v>
      </c>
      <c r="C5" s="35" t="s">
        <v>97</v>
      </c>
      <c r="D5" s="34" t="s">
        <v>98</v>
      </c>
      <c r="E5" s="36">
        <f>SUM(H5,J5,K5)</f>
        <v>1032.5</v>
      </c>
      <c r="F5" s="36">
        <v>3868.0</v>
      </c>
      <c r="G5" s="38" t="s">
        <v>99</v>
      </c>
      <c r="H5" s="36">
        <v>700.0</v>
      </c>
      <c r="I5" s="38" t="s">
        <v>92</v>
      </c>
      <c r="J5" s="36">
        <f>530/4</f>
        <v>132.5</v>
      </c>
      <c r="K5" s="36">
        <v>200.0</v>
      </c>
    </row>
    <row r="6" ht="14.25" customHeight="1">
      <c r="A6" s="33">
        <v>45839.0</v>
      </c>
      <c r="B6" s="34" t="s">
        <v>100</v>
      </c>
      <c r="C6" s="35" t="s">
        <v>101</v>
      </c>
      <c r="D6" s="34">
        <v>350.0</v>
      </c>
      <c r="E6" s="36">
        <v>350.0</v>
      </c>
      <c r="F6" s="36">
        <v>1400.0</v>
      </c>
      <c r="G6" s="37"/>
      <c r="H6" s="36"/>
      <c r="I6" s="37"/>
      <c r="J6" s="36"/>
      <c r="K6" s="36"/>
    </row>
    <row r="7" ht="14.25" customHeight="1">
      <c r="A7" s="34" t="s">
        <v>102</v>
      </c>
      <c r="B7" s="34" t="s">
        <v>103</v>
      </c>
      <c r="C7" s="35" t="s">
        <v>104</v>
      </c>
      <c r="D7" s="34" t="s">
        <v>105</v>
      </c>
      <c r="E7" s="36">
        <f>SUM(H7,J7,K7)</f>
        <v>1098.5</v>
      </c>
      <c r="F7" s="36">
        <v>4144.0</v>
      </c>
      <c r="G7" s="38" t="s">
        <v>106</v>
      </c>
      <c r="H7" s="36">
        <v>500.0</v>
      </c>
      <c r="I7" s="38" t="s">
        <v>92</v>
      </c>
      <c r="J7" s="36">
        <f>1114/4</f>
        <v>278.5</v>
      </c>
      <c r="K7" s="36">
        <v>320.0</v>
      </c>
    </row>
    <row r="8" ht="14.25" customHeight="1">
      <c r="A8" s="33">
        <v>45844.0</v>
      </c>
      <c r="B8" s="34" t="s">
        <v>107</v>
      </c>
      <c r="C8" s="35" t="s">
        <v>101</v>
      </c>
      <c r="D8" s="34">
        <v>400.0</v>
      </c>
      <c r="E8" s="36">
        <v>400.0</v>
      </c>
      <c r="F8" s="36">
        <v>1600.0</v>
      </c>
      <c r="G8" s="37"/>
      <c r="H8" s="36"/>
      <c r="I8" s="37"/>
      <c r="J8" s="36"/>
      <c r="K8" s="36"/>
    </row>
    <row r="9" ht="14.25" customHeight="1">
      <c r="A9" s="34" t="s">
        <v>108</v>
      </c>
      <c r="B9" s="34" t="s">
        <v>109</v>
      </c>
      <c r="C9" s="35" t="s">
        <v>110</v>
      </c>
      <c r="D9" s="34" t="s">
        <v>111</v>
      </c>
      <c r="E9" s="36">
        <f>SUM(H9,J9,K9)</f>
        <v>946.25</v>
      </c>
      <c r="F9" s="36">
        <v>3393.0</v>
      </c>
      <c r="G9" s="38" t="s">
        <v>112</v>
      </c>
      <c r="H9" s="36">
        <v>525.0</v>
      </c>
      <c r="I9" s="38" t="s">
        <v>92</v>
      </c>
      <c r="J9" s="36">
        <f>845/4</f>
        <v>211.25</v>
      </c>
      <c r="K9" s="36">
        <v>210.0</v>
      </c>
    </row>
    <row r="10" ht="14.25" customHeight="1">
      <c r="A10" s="33">
        <v>45847.0</v>
      </c>
      <c r="B10" s="34" t="s">
        <v>113</v>
      </c>
      <c r="C10" s="35" t="s">
        <v>114</v>
      </c>
      <c r="D10" s="35" t="s">
        <v>86</v>
      </c>
      <c r="E10" s="35"/>
      <c r="F10" s="35"/>
      <c r="G10" s="37"/>
      <c r="H10" s="37"/>
      <c r="I10" s="37"/>
      <c r="J10" s="37"/>
      <c r="K10" s="37"/>
    </row>
    <row r="11" ht="14.25" customHeight="1">
      <c r="A11" s="39"/>
      <c r="B11" s="39"/>
      <c r="C11" s="39"/>
      <c r="D11" s="39"/>
      <c r="E11" s="40">
        <f t="shared" ref="E11:F11" si="1">SUM(E2:E10)</f>
        <v>4884</v>
      </c>
      <c r="F11" s="40">
        <f t="shared" si="1"/>
        <v>19143</v>
      </c>
      <c r="G11" s="39"/>
      <c r="H11" s="40">
        <f>SUM(H2:H10)</f>
        <v>2195</v>
      </c>
      <c r="I11" s="39"/>
      <c r="J11" s="40">
        <f t="shared" ref="J11:K11" si="2">SUM(J2:J10)</f>
        <v>769</v>
      </c>
      <c r="K11" s="40">
        <f t="shared" si="2"/>
        <v>870</v>
      </c>
    </row>
    <row r="12" ht="14.25" customHeight="1">
      <c r="A12" s="5" t="s">
        <v>115</v>
      </c>
      <c r="B12" s="5">
        <v>1.0317245E7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A1:K10">
    <cfRule type="cellIs" dxfId="0" priority="1" operator="equal">
      <formula>0</formula>
    </cfRule>
  </conditionalFormatting>
  <hyperlinks>
    <hyperlink r:id="rId1" ref="G3"/>
    <hyperlink r:id="rId2" ref="I3"/>
    <hyperlink r:id="rId3" ref="G5"/>
    <hyperlink r:id="rId4" ref="I5"/>
    <hyperlink r:id="rId5" ref="G7"/>
    <hyperlink r:id="rId6" ref="I7"/>
    <hyperlink r:id="rId7" ref="G9"/>
    <hyperlink r:id="rId8" ref="I9"/>
  </hyperlinks>
  <printOptions/>
  <pageMargins bottom="1.0" footer="0.0" header="0.0" left="0.75" right="0.75" top="1.0"/>
  <pageSetup paperSize="9" orientation="portrait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71"/>
    <col customWidth="1" min="4" max="4" width="34.71"/>
  </cols>
  <sheetData>
    <row r="1" ht="14.25" customHeight="1">
      <c r="A1" s="41" t="s">
        <v>116</v>
      </c>
      <c r="B1" s="41"/>
      <c r="C1" s="42" t="s">
        <v>117</v>
      </c>
      <c r="D1" s="43"/>
      <c r="E1" s="44"/>
      <c r="F1" s="44"/>
      <c r="G1" s="45"/>
      <c r="H1" s="44"/>
      <c r="I1" s="45"/>
      <c r="J1" s="44"/>
      <c r="K1" s="44"/>
    </row>
    <row r="2" ht="14.25" customHeight="1">
      <c r="A2" s="46" t="s">
        <v>118</v>
      </c>
      <c r="B2" s="46" t="s">
        <v>119</v>
      </c>
      <c r="C2" s="47" t="s">
        <v>120</v>
      </c>
      <c r="D2" s="34" t="s">
        <v>121</v>
      </c>
      <c r="E2" s="36">
        <f t="shared" ref="E2:E3" si="1">SUM(H2,J2,K2)</f>
        <v>1032.5</v>
      </c>
      <c r="F2" s="36">
        <v>3868.0</v>
      </c>
      <c r="G2" s="38" t="s">
        <v>99</v>
      </c>
      <c r="H2" s="36">
        <v>700.0</v>
      </c>
      <c r="I2" s="38" t="s">
        <v>92</v>
      </c>
      <c r="J2" s="36">
        <f>530/4</f>
        <v>132.5</v>
      </c>
      <c r="K2" s="36">
        <v>200.0</v>
      </c>
      <c r="L2" s="5" t="s">
        <v>122</v>
      </c>
      <c r="M2" s="5" t="s">
        <v>123</v>
      </c>
    </row>
    <row r="3">
      <c r="A3" s="34" t="s">
        <v>124</v>
      </c>
      <c r="B3" s="34" t="s">
        <v>103</v>
      </c>
      <c r="C3" s="35" t="s">
        <v>104</v>
      </c>
      <c r="D3" s="34" t="s">
        <v>125</v>
      </c>
      <c r="E3" s="36">
        <f t="shared" si="1"/>
        <v>1098.5</v>
      </c>
      <c r="F3" s="36">
        <v>4144.0</v>
      </c>
      <c r="G3" s="38" t="s">
        <v>106</v>
      </c>
      <c r="H3" s="36">
        <v>500.0</v>
      </c>
      <c r="I3" s="38" t="s">
        <v>92</v>
      </c>
      <c r="J3" s="36">
        <f>1114/4</f>
        <v>278.5</v>
      </c>
      <c r="K3" s="36">
        <v>320.0</v>
      </c>
    </row>
  </sheetData>
  <conditionalFormatting sqref="A1:K3">
    <cfRule type="cellIs" dxfId="0" priority="1" operator="equal">
      <formula>0</formula>
    </cfRule>
  </conditionalFormatting>
  <hyperlinks>
    <hyperlink r:id="rId1" ref="G2"/>
    <hyperlink r:id="rId2" ref="I2"/>
    <hyperlink r:id="rId3" ref="G3"/>
    <hyperlink r:id="rId4" ref="I3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8" t="s">
        <v>126</v>
      </c>
      <c r="B1" s="48" t="s">
        <v>127</v>
      </c>
      <c r="C1" s="48" t="s">
        <v>128</v>
      </c>
      <c r="D1" s="48" t="s">
        <v>129</v>
      </c>
      <c r="E1" s="49"/>
      <c r="F1" s="48" t="s">
        <v>130</v>
      </c>
      <c r="G1" s="49"/>
      <c r="H1" s="48" t="s">
        <v>131</v>
      </c>
      <c r="I1" s="49"/>
      <c r="J1" s="48" t="s">
        <v>132</v>
      </c>
    </row>
    <row r="2">
      <c r="A2" s="49" t="s">
        <v>133</v>
      </c>
      <c r="B2" s="49" t="s">
        <v>134</v>
      </c>
      <c r="C2" s="49" t="s">
        <v>135</v>
      </c>
      <c r="D2" s="49" t="s">
        <v>136</v>
      </c>
      <c r="E2" s="49" t="s">
        <v>109</v>
      </c>
      <c r="F2" s="49" t="s">
        <v>137</v>
      </c>
      <c r="G2" s="49" t="s">
        <v>138</v>
      </c>
      <c r="H2" s="49" t="s">
        <v>139</v>
      </c>
      <c r="I2" s="49" t="s">
        <v>140</v>
      </c>
      <c r="J2" s="50" t="s">
        <v>141</v>
      </c>
    </row>
    <row r="3">
      <c r="A3" s="49" t="s">
        <v>142</v>
      </c>
      <c r="B3" s="49"/>
      <c r="C3" s="49"/>
      <c r="D3" s="49"/>
      <c r="E3" s="49"/>
      <c r="F3" s="49"/>
      <c r="G3" s="49"/>
      <c r="H3" s="49"/>
      <c r="I3" s="49"/>
      <c r="J3" s="49"/>
    </row>
    <row r="4">
      <c r="A4" s="49" t="s">
        <v>143</v>
      </c>
      <c r="B4" s="49"/>
      <c r="C4" s="49"/>
      <c r="D4" s="49"/>
      <c r="E4" s="49"/>
      <c r="F4" s="49"/>
      <c r="G4" s="49"/>
      <c r="H4" s="49"/>
      <c r="I4" s="49"/>
      <c r="J4" s="49"/>
    </row>
    <row r="5">
      <c r="A5" s="49" t="s">
        <v>144</v>
      </c>
      <c r="B5" s="49"/>
      <c r="C5" s="49"/>
      <c r="D5" s="49"/>
      <c r="E5" s="49"/>
      <c r="F5" s="49"/>
      <c r="G5" s="49"/>
      <c r="H5" s="49"/>
      <c r="I5" s="49"/>
      <c r="J5" s="49"/>
    </row>
    <row r="6">
      <c r="A6" s="49" t="s">
        <v>145</v>
      </c>
      <c r="B6" s="49"/>
      <c r="C6" s="49"/>
      <c r="D6" s="49"/>
      <c r="E6" s="49"/>
      <c r="F6" s="49"/>
      <c r="G6" s="49"/>
      <c r="H6" s="49"/>
      <c r="I6" s="49"/>
      <c r="J6" s="49"/>
    </row>
    <row r="7">
      <c r="A7" s="49" t="s">
        <v>146</v>
      </c>
      <c r="B7" s="49"/>
      <c r="C7" s="49"/>
      <c r="D7" s="49"/>
      <c r="E7" s="49"/>
      <c r="F7" s="49"/>
      <c r="G7" s="49"/>
      <c r="H7" s="49"/>
      <c r="I7" s="49"/>
      <c r="J7" s="49"/>
    </row>
    <row r="8">
      <c r="A8" s="49" t="s">
        <v>147</v>
      </c>
      <c r="B8" s="49"/>
      <c r="C8" s="49"/>
      <c r="D8" s="49"/>
      <c r="E8" s="49"/>
      <c r="F8" s="49"/>
      <c r="G8" s="49"/>
      <c r="H8" s="49"/>
      <c r="I8" s="49"/>
      <c r="J8" s="49"/>
    </row>
    <row r="9">
      <c r="A9" s="49" t="s">
        <v>148</v>
      </c>
      <c r="B9" s="49"/>
      <c r="C9" s="49"/>
      <c r="D9" s="49"/>
      <c r="E9" s="49"/>
      <c r="F9" s="49"/>
      <c r="G9" s="49"/>
      <c r="H9" s="49"/>
      <c r="I9" s="49"/>
      <c r="J9" s="49"/>
    </row>
    <row r="10">
      <c r="A10" s="49" t="s">
        <v>149</v>
      </c>
      <c r="B10" s="49"/>
      <c r="C10" s="49"/>
      <c r="D10" s="49"/>
      <c r="E10" s="49"/>
      <c r="F10" s="49"/>
      <c r="G10" s="49"/>
      <c r="H10" s="49"/>
      <c r="I10" s="49"/>
      <c r="J10" s="49"/>
    </row>
    <row r="11">
      <c r="A11" s="49" t="s">
        <v>150</v>
      </c>
      <c r="B11" s="49"/>
      <c r="C11" s="49"/>
      <c r="D11" s="49"/>
      <c r="E11" s="49"/>
      <c r="F11" s="49"/>
      <c r="G11" s="49"/>
      <c r="H11" s="49"/>
      <c r="I11" s="49"/>
      <c r="J11" s="49"/>
    </row>
    <row r="12">
      <c r="A12" s="49" t="s">
        <v>151</v>
      </c>
      <c r="B12" s="49"/>
      <c r="C12" s="49"/>
      <c r="D12" s="49"/>
      <c r="E12" s="49"/>
      <c r="F12" s="49"/>
      <c r="G12" s="49"/>
      <c r="H12" s="49"/>
      <c r="I12" s="49"/>
      <c r="J12" s="49"/>
    </row>
    <row r="13">
      <c r="A13" s="49" t="s">
        <v>152</v>
      </c>
      <c r="B13" s="49"/>
      <c r="C13" s="49"/>
      <c r="D13" s="49"/>
      <c r="E13" s="49"/>
      <c r="F13" s="49"/>
      <c r="G13" s="49"/>
      <c r="H13" s="49"/>
      <c r="I13" s="49"/>
      <c r="J13" s="49"/>
    </row>
    <row r="14">
      <c r="A14" s="49" t="s">
        <v>153</v>
      </c>
      <c r="B14" s="49"/>
      <c r="C14" s="49"/>
      <c r="D14" s="49"/>
      <c r="E14" s="49"/>
      <c r="F14" s="49"/>
      <c r="G14" s="49"/>
      <c r="H14" s="49"/>
      <c r="I14" s="49"/>
      <c r="J14" s="49"/>
    </row>
    <row r="15">
      <c r="A15" s="49" t="s">
        <v>154</v>
      </c>
      <c r="B15" s="49"/>
      <c r="C15" s="49"/>
      <c r="D15" s="49"/>
      <c r="E15" s="49"/>
      <c r="F15" s="49"/>
      <c r="G15" s="49"/>
      <c r="H15" s="49"/>
      <c r="I15" s="49"/>
      <c r="J15" s="49"/>
    </row>
    <row r="16">
      <c r="A16" s="49" t="s">
        <v>155</v>
      </c>
      <c r="B16" s="49"/>
      <c r="C16" s="49"/>
      <c r="D16" s="49"/>
      <c r="E16" s="49"/>
      <c r="F16" s="49"/>
      <c r="G16" s="49"/>
      <c r="H16" s="49"/>
      <c r="I16" s="49"/>
      <c r="J16" s="49"/>
    </row>
    <row r="17">
      <c r="A17" s="49" t="s">
        <v>156</v>
      </c>
      <c r="B17" s="49"/>
      <c r="C17" s="49"/>
      <c r="D17" s="49"/>
      <c r="E17" s="49"/>
      <c r="F17" s="49"/>
      <c r="G17" s="49"/>
      <c r="H17" s="49"/>
      <c r="I17" s="49"/>
      <c r="J17" s="49"/>
    </row>
    <row r="18">
      <c r="A18" s="49" t="s">
        <v>157</v>
      </c>
      <c r="B18" s="49" t="s">
        <v>158</v>
      </c>
      <c r="C18" s="49" t="s">
        <v>158</v>
      </c>
      <c r="D18" s="49" t="s">
        <v>159</v>
      </c>
      <c r="E18" s="49"/>
      <c r="F18" s="49" t="s">
        <v>160</v>
      </c>
      <c r="G18" s="49"/>
      <c r="H18" s="49" t="s">
        <v>161</v>
      </c>
      <c r="I18" s="49"/>
      <c r="J18" s="49"/>
    </row>
    <row r="19">
      <c r="A19" s="49"/>
      <c r="B19" s="49"/>
      <c r="C19" s="49"/>
      <c r="D19" s="49"/>
      <c r="E19" s="49"/>
      <c r="F19" s="49"/>
      <c r="G19" s="49"/>
      <c r="H19" s="49"/>
      <c r="I19" s="49"/>
      <c r="J19" s="49"/>
    </row>
  </sheetData>
  <hyperlinks>
    <hyperlink r:id="rId1" ref="J2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2025-11-25T16:20:45Z</dcterms:created>
  <dc:creator>openpyxl</dc:creator>
</cp:coreProperties>
</file>