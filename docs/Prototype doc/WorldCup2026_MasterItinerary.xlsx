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Day-by-Day" sheetId="2" r:id="rId6"/>
    <sheet state="visible" name="Flights" sheetId="3" r:id="rId7"/>
    <sheet state="visible" name="Accommodation" sheetId="4" r:id="rId8"/>
    <sheet state="visible" name="Quick Reference" sheetId="5" r:id="rId9"/>
    <sheet state="visible" name="Doc Index" sheetId="6" r:id="rId10"/>
  </sheets>
  <definedNames/>
  <calcPr/>
</workbook>
</file>

<file path=xl/sharedStrings.xml><?xml version="1.0" encoding="utf-8"?>
<sst xmlns="http://schemas.openxmlformats.org/spreadsheetml/2006/main" count="638" uniqueCount="366">
  <si>
    <t>FIFA World Cup 2026 — Group Trip</t>
  </si>
  <si>
    <t>Trip Dates</t>
  </si>
  <si>
    <t>22 June 2026 – ~7 July 2026 (16 days)</t>
  </si>
  <si>
    <t>Group Size</t>
  </si>
  <si>
    <t>4 Travellers: JT (Jun-Ting Yeung), Mark Lee, Taichi Watanabe, John Raj Murty</t>
  </si>
  <si>
    <t>Destinations</t>
  </si>
  <si>
    <t>Perth → Sydney → Santiago → Rio de Janeiro → São Paulo → Mexico City → Monterrey → New York</t>
  </si>
  <si>
    <t>Matches</t>
  </si>
  <si>
    <t>M75: R32 (1F vs 2C) — Estadio BBVA Monterrey, 29 Jun 18:00 local | M91: W76 vs W78 (R16) — MetLife Stadium, 5 Jul 16:00</t>
  </si>
  <si>
    <t>Tagline</t>
  </si>
  <si>
    <t>Five countries, two World Cup matches, one unforgettable summer.</t>
  </si>
  <si>
    <t>STATUS SUMMARY</t>
  </si>
  <si>
    <t>Confirmed items</t>
  </si>
  <si>
    <t>Planned items</t>
  </si>
  <si>
    <t>Needs Verification</t>
  </si>
  <si>
    <t>⚠️ CRITICAL ACTIONS NEEDED</t>
  </si>
  <si>
    <t>1. BOOK New York hotel (4–7 Jul) — nothing confirmed: New York hotel (5–9 Jul, ~4 nights) is completely missing. Match 91 is on 5 Jul so you need somewhere from that evening.</t>
  </si>
  <si>
    <t>2. CONFIRM Taichi + John inbound flights (Tokyo→Dubai→Rio, EK313+EK247) — no booking document found</t>
  </si>
  <si>
    <t>3. BOOK return flights from New York (~7 Jul) for all 4 travellers: Return flights from New York are completely unplanned for all 4 travellers.</t>
  </si>
  <si>
    <t>4. The Rio → Mexico City flight (LA3339 + LA8112, 28 Jun) has no booking confirmation — only a screenshot of the fare search. This needs to be purchased or the confirmation doc added.M75 ticket has a FIFA reference number but only a calendar invite as documentation — pull the actual ticket from the FIFA resale account.</t>
  </si>
  <si>
    <t>Day No.</t>
  </si>
  <si>
    <t>Date</t>
  </si>
  <si>
    <t>Time</t>
  </si>
  <si>
    <t>Location</t>
  </si>
  <si>
    <t>Event Type</t>
  </si>
  <si>
    <t>Description</t>
  </si>
  <si>
    <t>Status</t>
  </si>
  <si>
    <t>Notes / Booking Ref</t>
  </si>
  <si>
    <t>Doc Link</t>
  </si>
  <si>
    <t>Mon 22 Jun</t>
  </si>
  <si>
    <t>23:55</t>
  </si>
  <si>
    <t>Perth → Sydney</t>
  </si>
  <si>
    <t>Departure</t>
  </si>
  <si>
    <t>JT departs Perth on QF654 (23:55 PER T4 → 06:05 SYD T3)</t>
  </si>
  <si>
    <t>CONFIRMED</t>
  </si>
  <si>
    <t>Booking ref: F2Z5MB | QF654</t>
  </si>
  <si>
    <t>View Doc</t>
  </si>
  <si>
    <t>All day</t>
  </si>
  <si>
    <t>Sydney</t>
  </si>
  <si>
    <t>Travel prep</t>
  </si>
  <si>
    <t>Mark in Sydney preparing to depart next day</t>
  </si>
  <si>
    <t>PLANNED</t>
  </si>
  <si>
    <t>Tue 23 Jun</t>
  </si>
  <si>
    <t>06:05</t>
  </si>
  <si>
    <t>Arrival</t>
  </si>
  <si>
    <t>JT arrives SYD T3 on QF654</t>
  </si>
  <si>
    <t>Booking ref: F2Z5MB</t>
  </si>
  <si>
    <t>00:05</t>
  </si>
  <si>
    <t>Tokyo → Dubai</t>
  </si>
  <si>
    <t>Taichi + John depart Tokyo on EK313 (00:05 TYO → 05:40 DXB)</t>
  </si>
  <si>
    <t>NEEDS VERIFICATION</t>
  </si>
  <si>
    <t>Excel only — no booking doc found</t>
  </si>
  <si>
    <t>12:20</t>
  </si>
  <si>
    <t>Sydney → Santiago</t>
  </si>
  <si>
    <t>JT + Mark depart Sydney on QF27 (12:20 SYD T1 → 10:50 SCL T2, non-stop ~12h30m)</t>
  </si>
  <si>
    <t>Booking ref: F2Z5MB | QF27</t>
  </si>
  <si>
    <t>15:00+</t>
  </si>
  <si>
    <t>Santiago</t>
  </si>
  <si>
    <t>Check-in</t>
  </si>
  <si>
    <t>JT + Mark check in: City Express Marriott SCL Airport (Av. Américo Vespucio Oriente 1295). Arriving 10:50am — confirm early check-in.</t>
  </si>
  <si>
    <t>Expedia #73402875729464</t>
  </si>
  <si>
    <t>Wed 24 Jun</t>
  </si>
  <si>
    <t>05:15</t>
  </si>
  <si>
    <t>Santiago → Rio</t>
  </si>
  <si>
    <t>JT + Mark: H2 620 Sky Airline SCL 05:15 → GIG 10:15. ⚠️ Be at airport by ~3:30am.</t>
  </si>
  <si>
    <t>Sky Ticket #6052109493057/58 | NGSIYE</t>
  </si>
  <si>
    <t>08:05</t>
  </si>
  <si>
    <t>Dubai → Rio</t>
  </si>
  <si>
    <t>Taichi + John: EK247 Dubai 08:05 → GIG 15:50</t>
  </si>
  <si>
    <t>Excel only — no booking doc</t>
  </si>
  <si>
    <t>10:15</t>
  </si>
  <si>
    <t>Rio de Janeiro</t>
  </si>
  <si>
    <t>JT + Mark arrive GIG on H2 620</t>
  </si>
  <si>
    <t>15:50</t>
  </si>
  <si>
    <t>Taichi + John arrive GIG on EK247</t>
  </si>
  <si>
    <t>~16:30</t>
  </si>
  <si>
    <t>Group meetup</t>
  </si>
  <si>
    <t>All 4 reunite at GIG. ~30 min drive to Windsor Palace Copacabana.</t>
  </si>
  <si>
    <t>All 4 check in: Windsor Palace Copacabana (Rua Domingos Ferreira 6). 2 rooms, 4 nights.</t>
  </si>
  <si>
    <t>Booking.com #5319.515.034</t>
  </si>
  <si>
    <t>Thu 25 Jun</t>
  </si>
  <si>
    <t>Free day</t>
  </si>
  <si>
    <t>Full day in Rio — Copacabana, Ipanema, sightseeing TBD · Windsor Palace Copacabana</t>
  </si>
  <si>
    <t>Fri 26 Jun</t>
  </si>
  <si>
    <t>Full day in Rio — activities TBD · Windsor Palace Copacabana</t>
  </si>
  <si>
    <t>Sat 27 Jun</t>
  </si>
  <si>
    <t>Last full day in Rio — activities TBD · Windsor Palace Copacabana</t>
  </si>
  <si>
    <t>Sun 28 Jun</t>
  </si>
  <si>
    <t>04:50</t>
  </si>
  <si>
    <t>Rio → São Paulo</t>
  </si>
  <si>
    <t>LA3339 LATAM: GIG 04:50 → GRU 06:05 (Airbus 320, 1h15m) · ⚠️ Leave hotel by ~3:00am</t>
  </si>
  <si>
    <t>LATAM screenshot</t>
  </si>
  <si>
    <t>06:05–08:45</t>
  </si>
  <si>
    <t>São Paulo (GRU)</t>
  </si>
  <si>
    <t>Transit</t>
  </si>
  <si>
    <t>2hr 40min layover at Guarulhos Intl · Terminal change required</t>
  </si>
  <si>
    <t>08:45</t>
  </si>
  <si>
    <t>São Paulo → Mexico City</t>
  </si>
  <si>
    <t>LA8112 LATAM: GRU 08:45 → MEX 14:55 (Boeing 789, 9h10m)</t>
  </si>
  <si>
    <t>by 12:00</t>
  </si>
  <si>
    <t>Check-out</t>
  </si>
  <si>
    <t>Check out Windsor Palace by 12:00. Arrange luggage storage the night before.</t>
  </si>
  <si>
    <t>14:55–19:45</t>
  </si>
  <si>
    <t>Mexico City</t>
  </si>
  <si>
    <t>Layover</t>
  </si>
  <si>
    <t>Land at MEX T1 ~14:55. ~5hrs free. Then fly to Monterrey.</t>
  </si>
  <si>
    <t>19:45</t>
  </si>
  <si>
    <t>Mexico City → Monterrey</t>
  </si>
  <si>
    <t>Y4 244 Volaris: MEX T1 19:45 → MTY A 21:20 (1h35m)</t>
  </si>
  <si>
    <t>Volaris KDCVXP</t>
  </si>
  <si>
    <t>21:30+</t>
  </si>
  <si>
    <t>Monterrey</t>
  </si>
  <si>
    <t>AC Hotel Monterrey Valle (Circuito Frida Kahlo 303). Late arrival.</t>
  </si>
  <si>
    <t>Marriott #91745737</t>
  </si>
  <si>
    <t>Mon 29 Jun</t>
  </si>
  <si>
    <t>Morning</t>
  </si>
  <si>
    <t>Match prep</t>
  </si>
  <si>
    <t>Rest and get ready. Match day.</t>
  </si>
  <si>
    <t>AC Hotel Monterrey Valle</t>
  </si>
  <si>
    <t>18:00 local</t>
  </si>
  <si>
    <t>⚽ MATCH DAY</t>
  </si>
  <si>
    <t>MATCH 75 — Round of 32: Group F Winner vs Group C Runner-up. Estadio BBVA (BBVA Stadium). Kickoff 18:00 CDT local / 21:00 ET. Category 3 tickets. Access via FIFA app. Teams TBD after group stage ends 27 Jun.</t>
  </si>
  <si>
    <t>FIFA tickets: fwc26-resale-usd.tickets.fifa.com</t>
  </si>
  <si>
    <t>Night</t>
  </si>
  <si>
    <t>Accommodation</t>
  </si>
  <si>
    <t>AC Hotel Monterrey Valle · Conf #91745737</t>
  </si>
  <si>
    <t>Tue 30 Jun</t>
  </si>
  <si>
    <t>Check out AC Hotel Monterrey Valle. Store bags if needed.</t>
  </si>
  <si>
    <t>17:22</t>
  </si>
  <si>
    <t>Monterrey → Mexico City</t>
  </si>
  <si>
    <t>Y4 243 Volaris: MTY A 17:22 → MEX T1 18:55 (1h33m)</t>
  </si>
  <si>
    <t>~19:30</t>
  </si>
  <si>
    <t>La Campechana Residencial (Campeche 428, Roma/Condesa). Check-in window 15:00–20:00. Arriving ~7:30pm — within window.</t>
  </si>
  <si>
    <t>Booking.com #6136.830.261</t>
  </si>
  <si>
    <t>Wed 1 Jul</t>
  </si>
  <si>
    <t>Explore Roma/Condesa. Chapultepec, Frida Kahlo Museum etc. · La Campechana Residencial</t>
  </si>
  <si>
    <t>Thu 2 Jul</t>
  </si>
  <si>
    <t>Activities TBD · La Campechana Residencial</t>
  </si>
  <si>
    <t>Fri 3 Jul</t>
  </si>
  <si>
    <t>Check out La Campechana by 12:00. Store bags.</t>
  </si>
  <si>
    <t>Afternoon/Eve</t>
  </si>
  <si>
    <t>Final evening</t>
  </si>
  <si>
    <t>Last evening in Mexico City before late departure</t>
  </si>
  <si>
    <t>23:32</t>
  </si>
  <si>
    <t>Mexico City → New York</t>
  </si>
  <si>
    <t>AA2996 (operated by JAL): MEX 23:32 → JFK 06:27 (4 Jul). All 4 pax.</t>
  </si>
  <si>
    <t>Conf: WFDKKZ</t>
  </si>
  <si>
    <t>Sat 4 Jul 🎆</t>
  </si>
  <si>
    <t>06:27</t>
  </si>
  <si>
    <t>New York</t>
  </si>
  <si>
    <t>Arrive JFK. Independence Day USA! 🇺🇸</t>
  </si>
  <si>
    <t>Sat 4 Jul</t>
  </si>
  <si>
    <t>Check-in TBD</t>
  </si>
  <si>
    <t>New York hotel — NOT BOOKED. Must arrange urgently.</t>
  </si>
  <si>
    <t>No booking found</t>
  </si>
  <si>
    <t>Evening</t>
  </si>
  <si>
    <t>4th of July</t>
  </si>
  <si>
    <t>Independence Day celebrations across NYC — fireworks, events etc.</t>
  </si>
  <si>
    <t>Sun 5 Jul</t>
  </si>
  <si>
    <t>16:00 local</t>
  </si>
  <si>
    <t>MATCH 91 — Round of 16: W76 vs W78. MetLife Stadium, East Rutherford NJ. 4 tickets Category 3. Viagogo order #635505770. ⚠️ Event time subject to change.</t>
  </si>
  <si>
    <t>Viagogo #635505770</t>
  </si>
  <si>
    <t>New York hotel — NOT BOOKED.</t>
  </si>
  <si>
    <t>Mon 6 Jul</t>
  </si>
  <si>
    <t>Last day in NYC — explore.</t>
  </si>
  <si>
    <t>Tue 7 Jul</t>
  </si>
  <si>
    <t>TBD</t>
  </si>
  <si>
    <t>Return flights</t>
  </si>
  <si>
    <t>Return flights home — NOT BOOKED. Each traveller to arrange own return flight.</t>
  </si>
  <si>
    <t>Airline</t>
  </si>
  <si>
    <t>Flight No.</t>
  </si>
  <si>
    <t>From</t>
  </si>
  <si>
    <t>To</t>
  </si>
  <si>
    <t>Departs</t>
  </si>
  <si>
    <t>Arrives</t>
  </si>
  <si>
    <t>Terminal</t>
  </si>
  <si>
    <t>Passengers</t>
  </si>
  <si>
    <t>Conf / Booking Ref</t>
  </si>
  <si>
    <t>Booking URL</t>
  </si>
  <si>
    <t>Qantas</t>
  </si>
  <si>
    <t>QF654</t>
  </si>
  <si>
    <t>Perth (PER)</t>
  </si>
  <si>
    <t>Sydney (SYD)</t>
  </si>
  <si>
    <t>22 Jun 23:55</t>
  </si>
  <si>
    <t>23 Jun 06:05</t>
  </si>
  <si>
    <t>PER T4 → SYD T3</t>
  </si>
  <si>
    <t>JT only</t>
  </si>
  <si>
    <t>Booking Link</t>
  </si>
  <si>
    <t>QF27</t>
  </si>
  <si>
    <t>Santiago (SCL)</t>
  </si>
  <si>
    <t>23 Jun 12:20</t>
  </si>
  <si>
    <t>23 Jun 10:50</t>
  </si>
  <si>
    <t>SYD T1 → SCL T2</t>
  </si>
  <si>
    <t>JT + Mark</t>
  </si>
  <si>
    <t>Emirates</t>
  </si>
  <si>
    <t>EK313</t>
  </si>
  <si>
    <t>Tokyo (TYO)</t>
  </si>
  <si>
    <t>Dubai (DXB)</t>
  </si>
  <si>
    <t>24 Jun 00:05</t>
  </si>
  <si>
    <t>24 Jun 05:40</t>
  </si>
  <si>
    <t>—</t>
  </si>
  <si>
    <t>Taichi + John</t>
  </si>
  <si>
    <t>EK247</t>
  </si>
  <si>
    <t>Rio (GIG)</t>
  </si>
  <si>
    <t>24 Jun 08:05</t>
  </si>
  <si>
    <t>24 Jun 15:50</t>
  </si>
  <si>
    <t>Sky Airline</t>
  </si>
  <si>
    <t>H2 620</t>
  </si>
  <si>
    <t>24 Jun 05:15</t>
  </si>
  <si>
    <t>24 Jun 10:15</t>
  </si>
  <si>
    <t>Ticket #6052109493057/58 NGSIYE</t>
  </si>
  <si>
    <t>LATAM</t>
  </si>
  <si>
    <t>LA3339</t>
  </si>
  <si>
    <t>28 Jun 04:50</t>
  </si>
  <si>
    <t>28 Jun 06:05</t>
  </si>
  <si>
    <t>All 4</t>
  </si>
  <si>
    <t>Screenshot confirmed</t>
  </si>
  <si>
    <t>LA8112</t>
  </si>
  <si>
    <t>Mexico City (MEX)</t>
  </si>
  <si>
    <t>28 Jun 08:45</t>
  </si>
  <si>
    <t>28 Jun 14:55</t>
  </si>
  <si>
    <t>GRU → MEX</t>
  </si>
  <si>
    <t>Volaris</t>
  </si>
  <si>
    <t>Y4 244</t>
  </si>
  <si>
    <t>Monterrey (MTY)</t>
  </si>
  <si>
    <t>28 Jun 19:45</t>
  </si>
  <si>
    <t>28 Jun 21:20</t>
  </si>
  <si>
    <t>MEX T1 → MTY A</t>
  </si>
  <si>
    <t>KDCVXP</t>
  </si>
  <si>
    <t>Y4 243</t>
  </si>
  <si>
    <t>30 Jun 17:22</t>
  </si>
  <si>
    <t>30 Jun 18:55</t>
  </si>
  <si>
    <t>MTY A → MEX T1</t>
  </si>
  <si>
    <t>American/JAL</t>
  </si>
  <si>
    <t>AA2996</t>
  </si>
  <si>
    <t>New York (JFK)</t>
  </si>
  <si>
    <t>3 Jul 23:32</t>
  </si>
  <si>
    <t>4 Jul 06:27</t>
  </si>
  <si>
    <t>MEX</t>
  </si>
  <si>
    <t>?</t>
  </si>
  <si>
    <t>Home</t>
  </si>
  <si>
    <t>~7 Jul</t>
  </si>
  <si>
    <t>Not booked</t>
  </si>
  <si>
    <t>Property</t>
  </si>
  <si>
    <t>Address</t>
  </si>
  <si>
    <t>Nights</t>
  </si>
  <si>
    <t>Guests</t>
  </si>
  <si>
    <t>Conf Number</t>
  </si>
  <si>
    <t>Hotel Phone</t>
  </si>
  <si>
    <t>City Express by Marriott Santiago Aeropuerto</t>
  </si>
  <si>
    <t>Av. Américo Vespucio Oriente 1295, Pudahuel, Santiago</t>
  </si>
  <si>
    <t>Tue 23 Jun (3:00 PM)</t>
  </si>
  <si>
    <t>Wed 24 Jun (1:00 PM)</t>
  </si>
  <si>
    <t>JT + Mark (2 adults)</t>
  </si>
  <si>
    <t>73402875729464 (Expedia)</t>
  </si>
  <si>
    <t>+56 (2) 2589 7900</t>
  </si>
  <si>
    <t>Windsor Palace Copacabana</t>
  </si>
  <si>
    <t>Rua Domingos Ferreira, 6, Copacabana, Rio de Janeiro</t>
  </si>
  <si>
    <t>Wed 24 Jun (3:00 PM)</t>
  </si>
  <si>
    <t>Sun 28 Jun (12:00 PM)</t>
  </si>
  <si>
    <t>All 4 — 2 rooms</t>
  </si>
  <si>
    <t>5319.515.034 (Booking.com)</t>
  </si>
  <si>
    <t>+55 21 2195 6600</t>
  </si>
  <si>
    <t>Circuito Frida Kahlo 303, San Pedro Garza Garcia, N.L.</t>
  </si>
  <si>
    <t>Sun 28 Jun (3:00 PM)</t>
  </si>
  <si>
    <t>Tue 30 Jun (12:00 PM)</t>
  </si>
  <si>
    <t>3 adults (1 room — 4th unclear)</t>
  </si>
  <si>
    <t>91745737 (Marriott)</t>
  </si>
  <si>
    <t>+52-81-4059 2929</t>
  </si>
  <si>
    <t>La Campechana Residencial (Roma/Condesa)</t>
  </si>
  <si>
    <t>Campeche 428, 06170 Mexico City</t>
  </si>
  <si>
    <t>Tue 30 Jun (3:00–8:00 PM)</t>
  </si>
  <si>
    <t>Fri 3 Jul (12:00 PM)</t>
  </si>
  <si>
    <t>All 4 — 1 apartment</t>
  </si>
  <si>
    <t>6136.830.261 (Booking.com)</t>
  </si>
  <si>
    <t>+52 55 8533 8544</t>
  </si>
  <si>
    <t>New York Accommodation — NOT BOOKED</t>
  </si>
  <si>
    <t>~Tue 7 Jul</t>
  </si>
  <si>
    <t>~3</t>
  </si>
  <si>
    <t>Not found</t>
  </si>
  <si>
    <t>TRAVELLER CONTACTS</t>
  </si>
  <si>
    <t>JT — Jun-Ting Yeung</t>
  </si>
  <si>
    <t>junting.yeung@gmail.com</t>
  </si>
  <si>
    <t>Departs Perth</t>
  </si>
  <si>
    <t>Mark — Mark Lee</t>
  </si>
  <si>
    <t>chungjern@gmail.com</t>
  </si>
  <si>
    <t>Departs Sydney</t>
  </si>
  <si>
    <t>Taichi — Taichi Watanabe</t>
  </si>
  <si>
    <t>t.w.72ways@gmail.com</t>
  </si>
  <si>
    <t>Departs Tokyo</t>
  </si>
  <si>
    <t>John — John Raj Murty</t>
  </si>
  <si>
    <t>johnrajmurty8@gmail.com</t>
  </si>
  <si>
    <t>Booking lead</t>
  </si>
  <si>
    <t>HOTEL CONTACTS</t>
  </si>
  <si>
    <t>City Express Marriott SCL</t>
  </si>
  <si>
    <t>Check-in 3PM · Checkout 1PM</t>
  </si>
  <si>
    <t>Check-in 3PM · Checkout 12PM</t>
  </si>
  <si>
    <t>La Campechana Mexico City</t>
  </si>
  <si>
    <t>Check-in 3–8PM · Checkout 12PM</t>
  </si>
  <si>
    <t>MATCH TICKETS</t>
  </si>
  <si>
    <t>Match 75 — Brazil vs Japan</t>
  </si>
  <si>
    <t>Monterrey Stadium · 30 Jun 09:00 local</t>
  </si>
  <si>
    <t>FIFA app: fwc26-resale-usd.tickets.fifa.com</t>
  </si>
  <si>
    <t>Match 91 — R16 W76 vs W78</t>
  </si>
  <si>
    <t>MetLife Stadium · 5 Jul 16:00 local</t>
  </si>
  <si>
    <t>Viagogo order #635505770</t>
  </si>
  <si>
    <t>BOOKING REFERENCES — FLIGHTS</t>
  </si>
  <si>
    <t>Qantas (QF654 + QF27)</t>
  </si>
  <si>
    <t>F2Z5MB</t>
  </si>
  <si>
    <t>Sky Airline (H2 620)</t>
  </si>
  <si>
    <t>NGSIYE</t>
  </si>
  <si>
    <t>JT + Mark · SCL→GIG</t>
  </si>
  <si>
    <t>Volaris (Y4 244 + Y4 243)</t>
  </si>
  <si>
    <t>All 4 · MEX↔MTY</t>
  </si>
  <si>
    <t>American/JAL (AA2996)</t>
  </si>
  <si>
    <t>WFDKKZ</t>
  </si>
  <si>
    <t>All 4 · MEX→JFK</t>
  </si>
  <si>
    <t>LOCAL TRANSPORT NOTES</t>
  </si>
  <si>
    <t>GIG → Windsor Palace</t>
  </si>
  <si>
    <t>~30 min by car from GIG</t>
  </si>
  <si>
    <t>Copacabana</t>
  </si>
  <si>
    <t>MEX → La Campechana</t>
  </si>
  <si>
    <t>~20 min by car from MEX airport</t>
  </si>
  <si>
    <t>Roma/Condesa</t>
  </si>
  <si>
    <t>MetLife Stadium from NYC</t>
  </si>
  <si>
    <t>NJ Transit + Meadowlands Rail</t>
  </si>
  <si>
    <t>Allow 60–90 min</t>
  </si>
  <si>
    <t>BOOKING.COM EMERGENCY</t>
  </si>
  <si>
    <t>Booking.com Support EN</t>
  </si>
  <si>
    <t>03-7724-4265 | From abroad: +44 20 3320 2609</t>
  </si>
  <si>
    <t>24/7</t>
  </si>
  <si>
    <t>Marriott Worldwide</t>
  </si>
  <si>
    <t>1-888-236-2427</t>
  </si>
  <si>
    <t>#</t>
  </si>
  <si>
    <t>Document Title</t>
  </si>
  <si>
    <t>Type</t>
  </si>
  <si>
    <t>Booking Ref / Conf No.</t>
  </si>
  <si>
    <t>URL</t>
  </si>
  <si>
    <t>World Cup 2026 Itinerary (Excel Draft)</t>
  </si>
  <si>
    <t>Planning Spreadsheet</t>
  </si>
  <si>
    <t>Perth → Sydney Flights — JT Only (QF654 + QF27)</t>
  </si>
  <si>
    <t>Flight E-Ticket</t>
  </si>
  <si>
    <t>Open Link</t>
  </si>
  <si>
    <t>Santiago → Rio Flight — JT (H2 620)</t>
  </si>
  <si>
    <t>Ticket #6052109493057 | NGSIYE</t>
  </si>
  <si>
    <t>Santiago → Rio Flight — Mark (H2 620)</t>
  </si>
  <si>
    <t>Ticket #6052109493058 | NGSIYE</t>
  </si>
  <si>
    <t>Chile Accommodation — City Express Marriott SCL (JT + Mark)</t>
  </si>
  <si>
    <t>Hotel Confirmation</t>
  </si>
  <si>
    <t>Rio Accommodation — Windsor Palace Copacabana</t>
  </si>
  <si>
    <t>Rio → Mexico City Flights (LATAM LA3339 + LA8112)</t>
  </si>
  <si>
    <t>Flight Screenshot</t>
  </si>
  <si>
    <t>No ref visible</t>
  </si>
  <si>
    <t>Mexico City ↔ Monterrey Flights — Volaris Y4 244 + Y4 243</t>
  </si>
  <si>
    <t>Flight Confirmation</t>
  </si>
  <si>
    <t>Monterrey Accommodation — AC Hotel Monterrey Valle</t>
  </si>
  <si>
    <t>Match 75 — Brazil vs Japan, Monterrey</t>
  </si>
  <si>
    <t>Match Ticket</t>
  </si>
  <si>
    <t>FIFA tickets portal</t>
  </si>
  <si>
    <t>Match 91 — R16 W76 vs W78, MetLife Stadium NY</t>
  </si>
  <si>
    <t>Mexico City → New York Flight — AA2996</t>
  </si>
  <si>
    <t>Mexico City Accommodation — La Campechana Residencial</t>
  </si>
  <si>
    <t>New York Accommodation</t>
  </si>
  <si>
    <t>Tokyo → Dubai → Rio Flights (EK313 + EK247)</t>
  </si>
  <si>
    <t>Excel only — not confirmed</t>
  </si>
  <si>
    <t>Return Flights from New 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</si>
</sst>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0.0"/>
      <color rgb="FF1F3864"/>
      <name val="Arial"/>
    </font>
    <font>
      <sz val="10.0"/>
      <color rgb="FF000000"/>
      <name val="Arial"/>
    </font>
    <font>
      <b/>
      <sz val="10.0"/>
      <color rgb="FFFFFFFF"/>
      <name val="Arial"/>
    </font>
    <font/>
    <font>
      <b/>
      <sz val="10.0"/>
      <color rgb="FF375623"/>
      <name val="Arial"/>
    </font>
    <font>
      <b/>
      <sz val="10.0"/>
      <color rgb="FF7F6000"/>
      <name val="Arial"/>
    </font>
    <font>
      <b/>
      <sz val="10.0"/>
      <color rgb="FF843C0C"/>
      <name val="Arial"/>
    </font>
    <font>
      <sz val="10.0"/>
      <color rgb="FF843C0C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sz val="10.0"/>
      <color rgb="FF59595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0" fontId="5" numFmtId="0" xfId="0" applyBorder="1" applyFont="1"/>
    <xf borderId="3" fillId="3" fontId="6" numFmtId="0" xfId="0" applyBorder="1" applyFill="1" applyFont="1"/>
    <xf borderId="3" fillId="4" fontId="7" numFmtId="0" xfId="0" applyBorder="1" applyFill="1" applyFont="1"/>
    <xf borderId="3" fillId="5" fontId="8" numFmtId="0" xfId="0" applyBorder="1" applyFill="1" applyFont="1"/>
    <xf borderId="1" fillId="5" fontId="8" numFmtId="0" xfId="0" applyBorder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1"/>
    </xf>
    <xf borderId="3" fillId="3" fontId="11" numFmtId="0" xfId="0" applyAlignment="1" applyBorder="1" applyFont="1">
      <alignment shrinkToFit="0" vertical="top" wrapText="0"/>
    </xf>
    <xf borderId="3" fillId="3" fontId="11" numFmtId="0" xfId="0" applyAlignment="1" applyBorder="1" applyFont="1">
      <alignment shrinkToFit="0" vertical="top" wrapText="0"/>
    </xf>
    <xf borderId="3" fillId="3" fontId="11" numFmtId="0" xfId="0" applyAlignment="1" applyBorder="1" applyFont="1">
      <alignment shrinkToFit="0" vertical="top" wrapText="1"/>
    </xf>
    <xf borderId="3" fillId="3" fontId="11" numFmtId="0" xfId="0" applyAlignment="1" applyBorder="1" applyFont="1">
      <alignment shrinkToFit="0" vertical="top" wrapText="0"/>
    </xf>
    <xf borderId="3" fillId="3" fontId="12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shrinkToFit="0" vertical="top" wrapText="0"/>
    </xf>
    <xf borderId="3" fillId="4" fontId="11" numFmtId="0" xfId="0" applyAlignment="1" applyBorder="1" applyFont="1">
      <alignment shrinkToFit="0" vertical="top" wrapText="0"/>
    </xf>
    <xf borderId="3" fillId="4" fontId="11" numFmtId="0" xfId="0" applyAlignment="1" applyBorder="1" applyFont="1">
      <alignment shrinkToFit="0" vertical="top" wrapText="1"/>
    </xf>
    <xf borderId="3" fillId="4" fontId="11" numFmtId="0" xfId="0" applyAlignment="1" applyBorder="1" applyFont="1">
      <alignment shrinkToFit="0" vertical="top" wrapText="0"/>
    </xf>
    <xf borderId="0" fillId="0" fontId="11" numFmtId="0" xfId="0" applyAlignment="1" applyFont="1">
      <alignment shrinkToFit="0" vertical="center" wrapText="0"/>
    </xf>
    <xf borderId="3" fillId="5" fontId="11" numFmtId="0" xfId="0" applyAlignment="1" applyBorder="1" applyFont="1">
      <alignment shrinkToFit="0" vertical="top" wrapText="0"/>
    </xf>
    <xf borderId="3" fillId="5" fontId="11" numFmtId="0" xfId="0" applyAlignment="1" applyBorder="1" applyFont="1">
      <alignment shrinkToFit="0" vertical="top" wrapText="0"/>
    </xf>
    <xf borderId="3" fillId="5" fontId="11" numFmtId="0" xfId="0" applyAlignment="1" applyBorder="1" applyFont="1">
      <alignment shrinkToFit="0" vertical="top" wrapText="1"/>
    </xf>
    <xf borderId="3" fillId="5" fontId="11" numFmtId="0" xfId="0" applyAlignment="1" applyBorder="1" applyFont="1">
      <alignment shrinkToFit="0" vertical="top" wrapText="0"/>
    </xf>
    <xf borderId="3" fillId="2" fontId="4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shrinkToFit="0" vertical="top" wrapText="1"/>
    </xf>
    <xf borderId="3" fillId="3" fontId="11" numFmtId="0" xfId="0" applyAlignment="1" applyBorder="1" applyFont="1">
      <alignment vertical="top"/>
    </xf>
    <xf borderId="3" fillId="3" fontId="13" numFmtId="0" xfId="0" applyBorder="1" applyFont="1"/>
    <xf borderId="3" fillId="5" fontId="11" numFmtId="0" xfId="0" applyAlignment="1" applyBorder="1" applyFont="1">
      <alignment shrinkToFit="0" vertical="top" wrapText="1"/>
    </xf>
    <xf borderId="3" fillId="5" fontId="11" numFmtId="0" xfId="0" applyAlignment="1" applyBorder="1" applyFont="1">
      <alignment vertical="top"/>
    </xf>
    <xf borderId="4" fillId="0" fontId="5" numFmtId="0" xfId="0" applyBorder="1" applyFont="1"/>
    <xf borderId="0" fillId="0" fontId="10" numFmtId="0" xfId="0" applyFont="1"/>
    <xf borderId="0" fillId="0" fontId="11" numFmtId="0" xfId="0" applyFont="1"/>
    <xf borderId="0" fillId="0" fontId="1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ay-by-D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igh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 Inde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1" displayName="Table1" name="Table1" id="1">
  <tableColumns count="9">
    <tableColumn name="Day No." id="1"/>
    <tableColumn name="Date" id="2"/>
    <tableColumn name="Time" id="3"/>
    <tableColumn name="Location" id="4"/>
    <tableColumn name="Event Type" id="5"/>
    <tableColumn name="Description" id="6"/>
    <tableColumn name="Status" id="7"/>
    <tableColumn name="Notes / Booking Ref" id="8"/>
    <tableColumn name="Doc Link" id="9"/>
  </tableColumns>
  <tableStyleInfo name="Day-by-Day-style" showColumnStripes="0" showFirstColumn="1" showLastColumn="1" showRowStripes="1"/>
</table>
</file>

<file path=xl/tables/table2.xml><?xml version="1.0" encoding="utf-8"?>
<table xmlns="http://schemas.openxmlformats.org/spreadsheetml/2006/main" ref="A1:K12" displayName="Table2" name="Table2" id="2">
  <tableColumns count="11">
    <tableColumn name="Airline" id="1"/>
    <tableColumn name="Flight No." id="2"/>
    <tableColumn name="From" id="3"/>
    <tableColumn name="To" id="4"/>
    <tableColumn name="Departs" id="5"/>
    <tableColumn name="Arrives" id="6"/>
    <tableColumn name="Terminal" id="7"/>
    <tableColumn name="Passengers" id="8"/>
    <tableColumn name="Status" id="9"/>
    <tableColumn name="Conf / Booking Ref" id="10"/>
    <tableColumn name="Booking URL" id="11"/>
  </tableColumns>
  <tableStyleInfo name="Flights-style" showColumnStripes="0" showFirstColumn="1" showLastColumn="1" showRowStripes="1"/>
</table>
</file>

<file path=xl/tables/table3.xml><?xml version="1.0" encoding="utf-8"?>
<table xmlns="http://schemas.openxmlformats.org/spreadsheetml/2006/main" ref="A1:F17" displayName="Table3" name="Table3" id="3">
  <tableColumns count="6">
    <tableColumn name="#" id="1"/>
    <tableColumn name="Document Title" id="2"/>
    <tableColumn name="Type" id="3"/>
    <tableColumn name="Status" id="4"/>
    <tableColumn name="Booking Ref / Conf No." id="5"/>
    <tableColumn name="URL" id="6"/>
  </tableColumns>
  <tableStyleInfo name="Doc Ind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ail.google.com/mail/u/0/?ik=f951df44c2&amp;view=pt&amp;search=all&amp;permthid=thread-f:1856746355493058827" TargetMode="External"/><Relationship Id="rId10" Type="http://schemas.openxmlformats.org/officeDocument/2006/relationships/hyperlink" Target="https://mail.google.com/mail/u/0/?ik=f951df44c2&amp;view=pt&amp;search=all&amp;permthid=thread-f:1861060917833970073" TargetMode="External"/><Relationship Id="rId13" Type="http://schemas.openxmlformats.org/officeDocument/2006/relationships/hyperlink" Target="https://your.booking.com" TargetMode="External"/><Relationship Id="rId12" Type="http://schemas.openxmlformats.org/officeDocument/2006/relationships/hyperlink" Target="https://mail.google.com/mail/u/0/?ik=f951df44c2&amp;view=pt&amp;search=all&amp;permthid=thread-f:1858020992330674841" TargetMode="External"/><Relationship Id="rId1" Type="http://schemas.openxmlformats.org/officeDocument/2006/relationships/hyperlink" Target="https://www.qantas.com" TargetMode="External"/><Relationship Id="rId2" Type="http://schemas.openxmlformats.org/officeDocument/2006/relationships/hyperlink" Target="https://www.qantas.com" TargetMode="External"/><Relationship Id="rId3" Type="http://schemas.openxmlformats.org/officeDocument/2006/relationships/hyperlink" Target="https://www.qantas.com" TargetMode="External"/><Relationship Id="rId4" Type="http://schemas.openxmlformats.org/officeDocument/2006/relationships/hyperlink" Target="https://mail.google.com/mail/u/0/?ik=f951df44c2&amp;view=pt&amp;search=all&amp;permthid=thread-f:1860721678816684245" TargetMode="External"/><Relationship Id="rId9" Type="http://schemas.openxmlformats.org/officeDocument/2006/relationships/hyperlink" Target="https://mail.google.com/mail/u/0/?ik=f951df44c2&amp;view=pt&amp;search=all&amp;permthid=thread-f:1858020992330674841" TargetMode="External"/><Relationship Id="rId15" Type="http://schemas.openxmlformats.org/officeDocument/2006/relationships/hyperlink" Target="https://mail.google.com/mail/u/0/?ik=f951df44c2&amp;view=pt&amp;search=all&amp;permthid=thread-f:1856928532348522765" TargetMode="External"/><Relationship Id="rId14" Type="http://schemas.openxmlformats.org/officeDocument/2006/relationships/hyperlink" Target="https://mail.google.com/mail/u/0/?ik=f951df44c2&amp;view=pt&amp;search=all&amp;permthid=thread-f:1859015538294309852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skyairline.com" TargetMode="External"/><Relationship Id="rId6" Type="http://schemas.openxmlformats.org/officeDocument/2006/relationships/hyperlink" Target="https://your.booking.com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latamairlines.com" TargetMode="External"/><Relationship Id="rId8" Type="http://schemas.openxmlformats.org/officeDocument/2006/relationships/hyperlink" Target="https://www.latamairlines.com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.xml"/><Relationship Id="rId1" Type="http://schemas.openxmlformats.org/officeDocument/2006/relationships/hyperlink" Target="https://www.qantas.com" TargetMode="External"/><Relationship Id="rId2" Type="http://schemas.openxmlformats.org/officeDocument/2006/relationships/hyperlink" Target="https://www.qantas.com" TargetMode="External"/><Relationship Id="rId3" Type="http://schemas.openxmlformats.org/officeDocument/2006/relationships/hyperlink" Target="https://www.skyairline.com/es/chile/mis-viajes" TargetMode="External"/><Relationship Id="rId4" Type="http://schemas.openxmlformats.org/officeDocument/2006/relationships/hyperlink" Target="https://www.latamairlines.com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latamairlines.com" TargetMode="External"/><Relationship Id="rId6" Type="http://schemas.openxmlformats.org/officeDocument/2006/relationships/hyperlink" Target="https://mail.google.com/mail/u/0/?ik=f951df44c2&amp;view=pt&amp;search=all&amp;permthid=thread-f:1858020992330674841" TargetMode="External"/><Relationship Id="rId7" Type="http://schemas.openxmlformats.org/officeDocument/2006/relationships/hyperlink" Target="https://mail.google.com/mail/u/0/?ik=f951df44c2&amp;view=pt&amp;search=all&amp;permthid=thread-f:1858020992330674841" TargetMode="External"/><Relationship Id="rId8" Type="http://schemas.openxmlformats.org/officeDocument/2006/relationships/hyperlink" Target="https://mail.google.com/mail/u/0/?ik=f951df44c2&amp;view=pt&amp;search=all&amp;permthid=thread-f:185901553829430985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il.google.com/mail/u/0/?ik=f951df44c2&amp;view=pt&amp;search=all&amp;permthid=thread-f:1860721678816684245" TargetMode="External"/><Relationship Id="rId2" Type="http://schemas.openxmlformats.org/officeDocument/2006/relationships/hyperlink" Target="https://your.booking.com" TargetMode="External"/><Relationship Id="rId3" Type="http://schemas.openxmlformats.org/officeDocument/2006/relationships/hyperlink" Target="https://mail.google.com/mail/u/0/?ik=f951df44c2&amp;view=pt&amp;search=all&amp;permthid=thread-f:1861060917833970073" TargetMode="External"/><Relationship Id="rId4" Type="http://schemas.openxmlformats.org/officeDocument/2006/relationships/hyperlink" Target="https://your.booking.com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mail.google.com/mail/u/0/?ik=f951df44c2&amp;view=pt&amp;search=all&amp;permthid=thread-f:1859015538294309852" TargetMode="External"/><Relationship Id="rId10" Type="http://schemas.openxmlformats.org/officeDocument/2006/relationships/hyperlink" Target="https://mail.google.com/mail/u/0/?ik=f951df44c2&amp;view=pt&amp;search=all&amp;permthid=thread-f:1856928532348522765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your.booking.com" TargetMode="External"/><Relationship Id="rId1" Type="http://schemas.openxmlformats.org/officeDocument/2006/relationships/hyperlink" Target="https://www.qantas.com/au/en/manage-booking.html" TargetMode="External"/><Relationship Id="rId2" Type="http://schemas.openxmlformats.org/officeDocument/2006/relationships/hyperlink" Target="https://www.skyairline.com/es/chile/mis-viajes" TargetMode="External"/><Relationship Id="rId3" Type="http://schemas.openxmlformats.org/officeDocument/2006/relationships/hyperlink" Target="https://www.skyairline.com/es/chile/mis-viajes" TargetMode="External"/><Relationship Id="rId4" Type="http://schemas.openxmlformats.org/officeDocument/2006/relationships/hyperlink" Target="https://mail.google.com/mail/u/0/?ik=f951df44c2&amp;view=pt&amp;search=all&amp;permthid=thread-f:1860721678816684245" TargetMode="External"/><Relationship Id="rId9" Type="http://schemas.openxmlformats.org/officeDocument/2006/relationships/hyperlink" Target="https://mail.google.com/mail/u/0/?ik=f951df44c2&amp;view=pt&amp;search=all&amp;permthid=thread-f:1856746355493058827" TargetMode="External"/><Relationship Id="rId15" Type="http://schemas.openxmlformats.org/officeDocument/2006/relationships/table" Target="../tables/table3.xml"/><Relationship Id="rId5" Type="http://schemas.openxmlformats.org/officeDocument/2006/relationships/hyperlink" Target="https://your.booking.com" TargetMode="External"/><Relationship Id="rId6" Type="http://schemas.openxmlformats.org/officeDocument/2006/relationships/hyperlink" Target="https://www.latamairlines.com" TargetMode="External"/><Relationship Id="rId7" Type="http://schemas.openxmlformats.org/officeDocument/2006/relationships/hyperlink" Target="https://mail.google.com/mail/u/0/?ik=f951df44c2&amp;view=pt&amp;search=all&amp;permthid=thread-f:1858020992330674841" TargetMode="External"/><Relationship Id="rId8" Type="http://schemas.openxmlformats.org/officeDocument/2006/relationships/hyperlink" Target="https://mail.google.com/mail/u/0/?ik=f951df44c2&amp;view=pt&amp;search=all&amp;permthid=thread-f:18610609178339700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8.57"/>
    <col customWidth="1" min="2" max="2" width="108.57"/>
    <col customWidth="1" min="3" max="26" width="8.71"/>
  </cols>
  <sheetData>
    <row r="1" ht="30.0" customHeight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9">
      <c r="A9" s="4" t="s">
        <v>11</v>
      </c>
      <c r="B9" s="5"/>
    </row>
    <row r="10">
      <c r="A10" s="6" t="s">
        <v>12</v>
      </c>
      <c r="B10" s="6">
        <f>COUNTIF('Day-by-Day'!F:F,"CONFIRMED")+COUNTIF(Flights!I:I,"CONFIRMED")+COUNTIF(Accommodation!H:H,"CONFIRMED")</f>
        <v>12</v>
      </c>
    </row>
    <row r="11">
      <c r="A11" s="7" t="s">
        <v>13</v>
      </c>
      <c r="B11" s="7">
        <f>COUNTIF('Day-by-Day'!F:F,"PLANNED")</f>
        <v>0</v>
      </c>
    </row>
    <row r="12">
      <c r="A12" s="8" t="s">
        <v>14</v>
      </c>
      <c r="B12" s="8">
        <f>COUNTIF('Day-by-Day'!F:F,"NEEDS VERIFICATION")+COUNTIF(Flights!I:I,"NEEDS VERIFICATION")+COUNTIF(Accommodation!H:H,"NEEDS VERIFICATION")</f>
        <v>4</v>
      </c>
    </row>
    <row r="14">
      <c r="A14" s="9" t="s">
        <v>15</v>
      </c>
      <c r="B14" s="5"/>
    </row>
    <row r="15" ht="15.0" customHeight="1">
      <c r="A15" s="10" t="s">
        <v>16</v>
      </c>
    </row>
    <row r="16" ht="15.0" customHeight="1">
      <c r="A16" s="10" t="s">
        <v>17</v>
      </c>
    </row>
    <row r="17" ht="15.0" customHeight="1">
      <c r="A17" s="10" t="s">
        <v>18</v>
      </c>
    </row>
    <row r="18">
      <c r="A18" s="10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7">
    <mergeCell ref="A1:B1"/>
    <mergeCell ref="A9:B9"/>
    <mergeCell ref="A14:B14"/>
    <mergeCell ref="A15:B15"/>
    <mergeCell ref="A16:B16"/>
    <mergeCell ref="A17:B17"/>
    <mergeCell ref="A18:B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14.0"/>
    <col customWidth="1" min="3" max="3" width="16.0"/>
    <col customWidth="1" min="4" max="4" width="24.14"/>
    <col customWidth="1" min="5" max="5" width="16.0"/>
    <col customWidth="1" min="6" max="6" width="50.0"/>
    <col customWidth="1" min="7" max="7" width="27.0"/>
    <col customWidth="1" min="8" max="8" width="38.0"/>
    <col customWidth="1" min="9" max="9" width="12.0"/>
    <col customWidth="1" min="10" max="26" width="8.71"/>
  </cols>
  <sheetData>
    <row r="1" ht="22.5" customHeight="1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</row>
    <row r="2" ht="18.0" customHeight="1">
      <c r="A2" s="12">
        <v>1.0</v>
      </c>
      <c r="B2" s="13" t="s">
        <v>29</v>
      </c>
      <c r="C2" s="13" t="s">
        <v>30</v>
      </c>
      <c r="D2" s="13" t="s">
        <v>31</v>
      </c>
      <c r="E2" s="13" t="s">
        <v>32</v>
      </c>
      <c r="F2" s="14" t="s">
        <v>33</v>
      </c>
      <c r="G2" s="15" t="s">
        <v>34</v>
      </c>
      <c r="H2" s="13" t="s">
        <v>35</v>
      </c>
      <c r="I2" s="16" t="s">
        <v>36</v>
      </c>
    </row>
    <row r="3" ht="18.0" customHeight="1">
      <c r="A3" s="17">
        <v>1.0</v>
      </c>
      <c r="B3" s="18" t="s">
        <v>29</v>
      </c>
      <c r="C3" s="18" t="s">
        <v>37</v>
      </c>
      <c r="D3" s="18" t="s">
        <v>38</v>
      </c>
      <c r="E3" s="18" t="s">
        <v>39</v>
      </c>
      <c r="F3" s="19" t="s">
        <v>40</v>
      </c>
      <c r="G3" s="20" t="s">
        <v>41</v>
      </c>
      <c r="H3" s="18"/>
      <c r="I3" s="21"/>
    </row>
    <row r="4" ht="18.0" customHeight="1">
      <c r="A4" s="12">
        <v>2.0</v>
      </c>
      <c r="B4" s="13" t="s">
        <v>42</v>
      </c>
      <c r="C4" s="13" t="s">
        <v>43</v>
      </c>
      <c r="D4" s="13" t="s">
        <v>38</v>
      </c>
      <c r="E4" s="13" t="s">
        <v>44</v>
      </c>
      <c r="F4" s="14" t="s">
        <v>45</v>
      </c>
      <c r="G4" s="15" t="s">
        <v>34</v>
      </c>
      <c r="H4" s="13" t="s">
        <v>46</v>
      </c>
      <c r="I4" s="16" t="s">
        <v>36</v>
      </c>
    </row>
    <row r="5" ht="18.0" customHeight="1">
      <c r="A5" s="22">
        <v>2.0</v>
      </c>
      <c r="B5" s="23" t="s">
        <v>42</v>
      </c>
      <c r="C5" s="23" t="s">
        <v>47</v>
      </c>
      <c r="D5" s="23" t="s">
        <v>48</v>
      </c>
      <c r="E5" s="23" t="s">
        <v>32</v>
      </c>
      <c r="F5" s="24" t="s">
        <v>49</v>
      </c>
      <c r="G5" s="25" t="s">
        <v>50</v>
      </c>
      <c r="H5" s="23" t="s">
        <v>51</v>
      </c>
      <c r="I5" s="21"/>
    </row>
    <row r="6" ht="18.0" customHeight="1">
      <c r="A6" s="12">
        <v>2.0</v>
      </c>
      <c r="B6" s="13" t="s">
        <v>42</v>
      </c>
      <c r="C6" s="13" t="s">
        <v>52</v>
      </c>
      <c r="D6" s="13" t="s">
        <v>53</v>
      </c>
      <c r="E6" s="13" t="s">
        <v>32</v>
      </c>
      <c r="F6" s="14" t="s">
        <v>54</v>
      </c>
      <c r="G6" s="15" t="s">
        <v>34</v>
      </c>
      <c r="H6" s="13" t="s">
        <v>55</v>
      </c>
      <c r="I6" s="16" t="s">
        <v>36</v>
      </c>
    </row>
    <row r="7" ht="27.75" customHeight="1">
      <c r="A7" s="12">
        <v>2.0</v>
      </c>
      <c r="B7" s="13" t="s">
        <v>42</v>
      </c>
      <c r="C7" s="13" t="s">
        <v>56</v>
      </c>
      <c r="D7" s="13" t="s">
        <v>57</v>
      </c>
      <c r="E7" s="13" t="s">
        <v>58</v>
      </c>
      <c r="F7" s="14" t="s">
        <v>59</v>
      </c>
      <c r="G7" s="15" t="s">
        <v>34</v>
      </c>
      <c r="H7" s="13" t="s">
        <v>60</v>
      </c>
      <c r="I7" s="16" t="s">
        <v>36</v>
      </c>
    </row>
    <row r="8" ht="27.75" customHeight="1">
      <c r="A8" s="12">
        <v>3.0</v>
      </c>
      <c r="B8" s="13" t="s">
        <v>61</v>
      </c>
      <c r="C8" s="13" t="s">
        <v>62</v>
      </c>
      <c r="D8" s="13" t="s">
        <v>63</v>
      </c>
      <c r="E8" s="13" t="s">
        <v>32</v>
      </c>
      <c r="F8" s="14" t="s">
        <v>64</v>
      </c>
      <c r="G8" s="15" t="s">
        <v>34</v>
      </c>
      <c r="H8" s="13" t="s">
        <v>65</v>
      </c>
      <c r="I8" s="16" t="s">
        <v>36</v>
      </c>
    </row>
    <row r="9" ht="18.0" customHeight="1">
      <c r="A9" s="22">
        <v>3.0</v>
      </c>
      <c r="B9" s="23" t="s">
        <v>61</v>
      </c>
      <c r="C9" s="23" t="s">
        <v>66</v>
      </c>
      <c r="D9" s="23" t="s">
        <v>67</v>
      </c>
      <c r="E9" s="23" t="s">
        <v>32</v>
      </c>
      <c r="F9" s="24" t="s">
        <v>68</v>
      </c>
      <c r="G9" s="25" t="s">
        <v>50</v>
      </c>
      <c r="H9" s="23" t="s">
        <v>69</v>
      </c>
      <c r="I9" s="21"/>
    </row>
    <row r="10" ht="18.0" customHeight="1">
      <c r="A10" s="12">
        <v>3.0</v>
      </c>
      <c r="B10" s="13" t="s">
        <v>61</v>
      </c>
      <c r="C10" s="13" t="s">
        <v>70</v>
      </c>
      <c r="D10" s="13" t="s">
        <v>71</v>
      </c>
      <c r="E10" s="13" t="s">
        <v>44</v>
      </c>
      <c r="F10" s="14" t="s">
        <v>72</v>
      </c>
      <c r="G10" s="15" t="s">
        <v>34</v>
      </c>
      <c r="H10" s="13"/>
      <c r="I10" s="21"/>
    </row>
    <row r="11" ht="18.0" customHeight="1">
      <c r="A11" s="22">
        <v>3.0</v>
      </c>
      <c r="B11" s="23" t="s">
        <v>61</v>
      </c>
      <c r="C11" s="23" t="s">
        <v>73</v>
      </c>
      <c r="D11" s="23" t="s">
        <v>71</v>
      </c>
      <c r="E11" s="23" t="s">
        <v>44</v>
      </c>
      <c r="F11" s="24" t="s">
        <v>74</v>
      </c>
      <c r="G11" s="25" t="s">
        <v>50</v>
      </c>
      <c r="H11" s="23"/>
      <c r="I11" s="21"/>
    </row>
    <row r="12" ht="18.0" customHeight="1">
      <c r="A12" s="17">
        <v>3.0</v>
      </c>
      <c r="B12" s="18" t="s">
        <v>61</v>
      </c>
      <c r="C12" s="18" t="s">
        <v>75</v>
      </c>
      <c r="D12" s="18" t="s">
        <v>71</v>
      </c>
      <c r="E12" s="18" t="s">
        <v>76</v>
      </c>
      <c r="F12" s="19" t="s">
        <v>77</v>
      </c>
      <c r="G12" s="20" t="s">
        <v>41</v>
      </c>
      <c r="H12" s="18"/>
      <c r="I12" s="21"/>
    </row>
    <row r="13" ht="27.75" customHeight="1">
      <c r="A13" s="12">
        <v>3.0</v>
      </c>
      <c r="B13" s="13" t="s">
        <v>61</v>
      </c>
      <c r="C13" s="13" t="s">
        <v>56</v>
      </c>
      <c r="D13" s="13" t="s">
        <v>71</v>
      </c>
      <c r="E13" s="13" t="s">
        <v>58</v>
      </c>
      <c r="F13" s="14" t="s">
        <v>78</v>
      </c>
      <c r="G13" s="15" t="s">
        <v>34</v>
      </c>
      <c r="H13" s="13" t="s">
        <v>79</v>
      </c>
      <c r="I13" s="16" t="s">
        <v>36</v>
      </c>
    </row>
    <row r="14" ht="27.75" customHeight="1">
      <c r="A14" s="17">
        <v>4.0</v>
      </c>
      <c r="B14" s="18" t="s">
        <v>80</v>
      </c>
      <c r="C14" s="18" t="s">
        <v>37</v>
      </c>
      <c r="D14" s="18" t="s">
        <v>71</v>
      </c>
      <c r="E14" s="18" t="s">
        <v>81</v>
      </c>
      <c r="F14" s="19" t="s">
        <v>82</v>
      </c>
      <c r="G14" s="20" t="s">
        <v>41</v>
      </c>
      <c r="H14" s="18"/>
      <c r="I14" s="21"/>
    </row>
    <row r="15" ht="18.0" customHeight="1">
      <c r="A15" s="17">
        <v>5.0</v>
      </c>
      <c r="B15" s="18" t="s">
        <v>83</v>
      </c>
      <c r="C15" s="18" t="s">
        <v>37</v>
      </c>
      <c r="D15" s="18" t="s">
        <v>71</v>
      </c>
      <c r="E15" s="18" t="s">
        <v>81</v>
      </c>
      <c r="F15" s="19" t="s">
        <v>84</v>
      </c>
      <c r="G15" s="20" t="s">
        <v>41</v>
      </c>
      <c r="H15" s="18"/>
      <c r="I15" s="21"/>
    </row>
    <row r="16" ht="18.0" customHeight="1">
      <c r="A16" s="17">
        <v>6.0</v>
      </c>
      <c r="B16" s="18" t="s">
        <v>85</v>
      </c>
      <c r="C16" s="18" t="s">
        <v>37</v>
      </c>
      <c r="D16" s="18" t="s">
        <v>71</v>
      </c>
      <c r="E16" s="18" t="s">
        <v>81</v>
      </c>
      <c r="F16" s="19" t="s">
        <v>86</v>
      </c>
      <c r="G16" s="20" t="s">
        <v>41</v>
      </c>
      <c r="H16" s="18"/>
      <c r="I16" s="21"/>
    </row>
    <row r="17" ht="27.75" customHeight="1">
      <c r="A17" s="12">
        <v>7.0</v>
      </c>
      <c r="B17" s="13" t="s">
        <v>87</v>
      </c>
      <c r="C17" s="13" t="s">
        <v>88</v>
      </c>
      <c r="D17" s="13" t="s">
        <v>89</v>
      </c>
      <c r="E17" s="13" t="s">
        <v>32</v>
      </c>
      <c r="F17" s="14" t="s">
        <v>90</v>
      </c>
      <c r="G17" s="15" t="s">
        <v>34</v>
      </c>
      <c r="H17" s="13" t="s">
        <v>91</v>
      </c>
      <c r="I17" s="16" t="s">
        <v>36</v>
      </c>
    </row>
    <row r="18" ht="18.0" customHeight="1">
      <c r="A18" s="12">
        <v>7.0</v>
      </c>
      <c r="B18" s="13" t="s">
        <v>87</v>
      </c>
      <c r="C18" s="13" t="s">
        <v>92</v>
      </c>
      <c r="D18" s="13" t="s">
        <v>93</v>
      </c>
      <c r="E18" s="13" t="s">
        <v>94</v>
      </c>
      <c r="F18" s="14" t="s">
        <v>95</v>
      </c>
      <c r="G18" s="15" t="s">
        <v>34</v>
      </c>
      <c r="H18" s="13"/>
      <c r="I18" s="21"/>
    </row>
    <row r="19" ht="18.0" customHeight="1">
      <c r="A19" s="12">
        <v>7.0</v>
      </c>
      <c r="B19" s="13" t="s">
        <v>87</v>
      </c>
      <c r="C19" s="13" t="s">
        <v>96</v>
      </c>
      <c r="D19" s="13" t="s">
        <v>97</v>
      </c>
      <c r="E19" s="13" t="s">
        <v>32</v>
      </c>
      <c r="F19" s="14" t="s">
        <v>98</v>
      </c>
      <c r="G19" s="15" t="s">
        <v>34</v>
      </c>
      <c r="H19" s="13" t="s">
        <v>91</v>
      </c>
      <c r="I19" s="16" t="s">
        <v>36</v>
      </c>
    </row>
    <row r="20" ht="18.0" customHeight="1">
      <c r="A20" s="12">
        <v>7.0</v>
      </c>
      <c r="B20" s="13" t="s">
        <v>87</v>
      </c>
      <c r="C20" s="13" t="s">
        <v>99</v>
      </c>
      <c r="D20" s="13" t="s">
        <v>71</v>
      </c>
      <c r="E20" s="13" t="s">
        <v>100</v>
      </c>
      <c r="F20" s="14" t="s">
        <v>101</v>
      </c>
      <c r="G20" s="15" t="s">
        <v>34</v>
      </c>
      <c r="H20" s="13" t="s">
        <v>79</v>
      </c>
      <c r="I20" s="21"/>
    </row>
    <row r="21" ht="18.0" customHeight="1">
      <c r="A21" s="17">
        <v>7.0</v>
      </c>
      <c r="B21" s="18" t="s">
        <v>87</v>
      </c>
      <c r="C21" s="18" t="s">
        <v>102</v>
      </c>
      <c r="D21" s="18" t="s">
        <v>103</v>
      </c>
      <c r="E21" s="18" t="s">
        <v>104</v>
      </c>
      <c r="F21" s="19" t="s">
        <v>105</v>
      </c>
      <c r="G21" s="20" t="s">
        <v>41</v>
      </c>
      <c r="H21" s="18"/>
      <c r="I21" s="21"/>
    </row>
    <row r="22" ht="18.0" customHeight="1">
      <c r="A22" s="12">
        <v>7.0</v>
      </c>
      <c r="B22" s="13" t="s">
        <v>87</v>
      </c>
      <c r="C22" s="13" t="s">
        <v>106</v>
      </c>
      <c r="D22" s="13" t="s">
        <v>107</v>
      </c>
      <c r="E22" s="13" t="s">
        <v>32</v>
      </c>
      <c r="F22" s="14" t="s">
        <v>108</v>
      </c>
      <c r="G22" s="15" t="s">
        <v>34</v>
      </c>
      <c r="H22" s="13" t="s">
        <v>109</v>
      </c>
      <c r="I22" s="16" t="s">
        <v>36</v>
      </c>
    </row>
    <row r="23" ht="18.0" customHeight="1">
      <c r="A23" s="12">
        <v>7.0</v>
      </c>
      <c r="B23" s="13" t="s">
        <v>87</v>
      </c>
      <c r="C23" s="13" t="s">
        <v>110</v>
      </c>
      <c r="D23" s="13" t="s">
        <v>111</v>
      </c>
      <c r="E23" s="13" t="s">
        <v>58</v>
      </c>
      <c r="F23" s="14" t="s">
        <v>112</v>
      </c>
      <c r="G23" s="15" t="s">
        <v>34</v>
      </c>
      <c r="H23" s="13" t="s">
        <v>113</v>
      </c>
      <c r="I23" s="16" t="s">
        <v>36</v>
      </c>
    </row>
    <row r="24" ht="18.0" customHeight="1">
      <c r="A24" s="17">
        <v>8.0</v>
      </c>
      <c r="B24" s="18" t="s">
        <v>114</v>
      </c>
      <c r="C24" s="18" t="s">
        <v>115</v>
      </c>
      <c r="D24" s="18" t="s">
        <v>111</v>
      </c>
      <c r="E24" s="18" t="s">
        <v>116</v>
      </c>
      <c r="F24" s="19" t="s">
        <v>117</v>
      </c>
      <c r="G24" s="20" t="s">
        <v>41</v>
      </c>
      <c r="H24" s="18" t="s">
        <v>118</v>
      </c>
      <c r="I24" s="21"/>
    </row>
    <row r="25" ht="27.75" customHeight="1">
      <c r="A25" s="12">
        <v>8.0</v>
      </c>
      <c r="B25" s="13" t="s">
        <v>114</v>
      </c>
      <c r="C25" s="13" t="s">
        <v>119</v>
      </c>
      <c r="D25" s="13" t="s">
        <v>111</v>
      </c>
      <c r="E25" s="13" t="s">
        <v>120</v>
      </c>
      <c r="F25" s="14" t="s">
        <v>121</v>
      </c>
      <c r="G25" s="15" t="s">
        <v>34</v>
      </c>
      <c r="H25" s="13" t="s">
        <v>122</v>
      </c>
      <c r="I25" s="16" t="s">
        <v>36</v>
      </c>
    </row>
    <row r="26" ht="18.0" customHeight="1">
      <c r="A26" s="12">
        <v>8.0</v>
      </c>
      <c r="B26" s="13" t="s">
        <v>114</v>
      </c>
      <c r="C26" s="13" t="s">
        <v>123</v>
      </c>
      <c r="D26" s="13" t="s">
        <v>111</v>
      </c>
      <c r="E26" s="13" t="s">
        <v>124</v>
      </c>
      <c r="F26" s="14" t="s">
        <v>125</v>
      </c>
      <c r="G26" s="15" t="s">
        <v>34</v>
      </c>
      <c r="H26" s="13"/>
      <c r="I26" s="21"/>
    </row>
    <row r="27" ht="18.0" customHeight="1">
      <c r="A27" s="12">
        <v>9.0</v>
      </c>
      <c r="B27" s="13" t="s">
        <v>126</v>
      </c>
      <c r="C27" s="13" t="s">
        <v>99</v>
      </c>
      <c r="D27" s="13" t="s">
        <v>111</v>
      </c>
      <c r="E27" s="13" t="s">
        <v>100</v>
      </c>
      <c r="F27" s="14" t="s">
        <v>127</v>
      </c>
      <c r="G27" s="15" t="s">
        <v>34</v>
      </c>
      <c r="H27" s="13" t="s">
        <v>113</v>
      </c>
      <c r="I27" s="21"/>
    </row>
    <row r="28" ht="18.0" customHeight="1">
      <c r="A28" s="12">
        <v>9.0</v>
      </c>
      <c r="B28" s="13" t="s">
        <v>126</v>
      </c>
      <c r="C28" s="13" t="s">
        <v>128</v>
      </c>
      <c r="D28" s="13" t="s">
        <v>129</v>
      </c>
      <c r="E28" s="13" t="s">
        <v>32</v>
      </c>
      <c r="F28" s="14" t="s">
        <v>130</v>
      </c>
      <c r="G28" s="15" t="s">
        <v>34</v>
      </c>
      <c r="H28" s="13" t="s">
        <v>109</v>
      </c>
      <c r="I28" s="16" t="s">
        <v>36</v>
      </c>
    </row>
    <row r="29" ht="27.75" customHeight="1">
      <c r="A29" s="12">
        <v>9.0</v>
      </c>
      <c r="B29" s="13" t="s">
        <v>126</v>
      </c>
      <c r="C29" s="13" t="s">
        <v>131</v>
      </c>
      <c r="D29" s="13" t="s">
        <v>103</v>
      </c>
      <c r="E29" s="13" t="s">
        <v>58</v>
      </c>
      <c r="F29" s="14" t="s">
        <v>132</v>
      </c>
      <c r="G29" s="15" t="s">
        <v>34</v>
      </c>
      <c r="H29" s="13" t="s">
        <v>133</v>
      </c>
      <c r="I29" s="16" t="s">
        <v>36</v>
      </c>
    </row>
    <row r="30" ht="27.75" customHeight="1">
      <c r="A30" s="17">
        <v>10.0</v>
      </c>
      <c r="B30" s="18" t="s">
        <v>134</v>
      </c>
      <c r="C30" s="18" t="s">
        <v>37</v>
      </c>
      <c r="D30" s="18" t="s">
        <v>103</v>
      </c>
      <c r="E30" s="18" t="s">
        <v>81</v>
      </c>
      <c r="F30" s="19" t="s">
        <v>135</v>
      </c>
      <c r="G30" s="20" t="s">
        <v>41</v>
      </c>
      <c r="H30" s="18"/>
      <c r="I30" s="21"/>
    </row>
    <row r="31" ht="18.0" customHeight="1">
      <c r="A31" s="17">
        <v>11.0</v>
      </c>
      <c r="B31" s="18" t="s">
        <v>136</v>
      </c>
      <c r="C31" s="18" t="s">
        <v>37</v>
      </c>
      <c r="D31" s="18" t="s">
        <v>103</v>
      </c>
      <c r="E31" s="18" t="s">
        <v>81</v>
      </c>
      <c r="F31" s="19" t="s">
        <v>137</v>
      </c>
      <c r="G31" s="20" t="s">
        <v>41</v>
      </c>
      <c r="H31" s="18"/>
      <c r="I31" s="21"/>
    </row>
    <row r="32" ht="18.0" customHeight="1">
      <c r="A32" s="12">
        <v>12.0</v>
      </c>
      <c r="B32" s="13" t="s">
        <v>138</v>
      </c>
      <c r="C32" s="13" t="s">
        <v>99</v>
      </c>
      <c r="D32" s="13" t="s">
        <v>103</v>
      </c>
      <c r="E32" s="13" t="s">
        <v>100</v>
      </c>
      <c r="F32" s="14" t="s">
        <v>139</v>
      </c>
      <c r="G32" s="15" t="s">
        <v>34</v>
      </c>
      <c r="H32" s="13" t="s">
        <v>133</v>
      </c>
      <c r="I32" s="21"/>
    </row>
    <row r="33" ht="18.0" customHeight="1">
      <c r="A33" s="17">
        <v>12.0</v>
      </c>
      <c r="B33" s="18" t="s">
        <v>138</v>
      </c>
      <c r="C33" s="18" t="s">
        <v>140</v>
      </c>
      <c r="D33" s="18" t="s">
        <v>103</v>
      </c>
      <c r="E33" s="18" t="s">
        <v>141</v>
      </c>
      <c r="F33" s="19" t="s">
        <v>142</v>
      </c>
      <c r="G33" s="20" t="s">
        <v>41</v>
      </c>
      <c r="H33" s="18"/>
      <c r="I33" s="21"/>
    </row>
    <row r="34" ht="18.0" customHeight="1">
      <c r="A34" s="12">
        <v>12.0</v>
      </c>
      <c r="B34" s="13" t="s">
        <v>138</v>
      </c>
      <c r="C34" s="13" t="s">
        <v>143</v>
      </c>
      <c r="D34" s="13" t="s">
        <v>144</v>
      </c>
      <c r="E34" s="13" t="s">
        <v>32</v>
      </c>
      <c r="F34" s="14" t="s">
        <v>145</v>
      </c>
      <c r="G34" s="15" t="s">
        <v>34</v>
      </c>
      <c r="H34" s="13" t="s">
        <v>146</v>
      </c>
      <c r="I34" s="16" t="s">
        <v>36</v>
      </c>
    </row>
    <row r="35" ht="18.0" customHeight="1">
      <c r="A35" s="12">
        <v>13.0</v>
      </c>
      <c r="B35" s="13" t="s">
        <v>147</v>
      </c>
      <c r="C35" s="13" t="s">
        <v>148</v>
      </c>
      <c r="D35" s="13" t="s">
        <v>149</v>
      </c>
      <c r="E35" s="13" t="s">
        <v>44</v>
      </c>
      <c r="F35" s="14" t="s">
        <v>150</v>
      </c>
      <c r="G35" s="15" t="s">
        <v>34</v>
      </c>
      <c r="H35" s="13" t="s">
        <v>146</v>
      </c>
      <c r="I35" s="21"/>
    </row>
    <row r="36" ht="18.0" customHeight="1">
      <c r="A36" s="22">
        <v>13.0</v>
      </c>
      <c r="B36" s="23" t="s">
        <v>151</v>
      </c>
      <c r="C36" s="23" t="s">
        <v>152</v>
      </c>
      <c r="D36" s="23" t="s">
        <v>149</v>
      </c>
      <c r="E36" s="23" t="s">
        <v>124</v>
      </c>
      <c r="F36" s="24" t="s">
        <v>153</v>
      </c>
      <c r="G36" s="25" t="s">
        <v>50</v>
      </c>
      <c r="H36" s="23" t="s">
        <v>154</v>
      </c>
      <c r="I36" s="21"/>
    </row>
    <row r="37" ht="18.0" customHeight="1">
      <c r="A37" s="17">
        <v>13.0</v>
      </c>
      <c r="B37" s="18" t="s">
        <v>151</v>
      </c>
      <c r="C37" s="18" t="s">
        <v>155</v>
      </c>
      <c r="D37" s="18" t="s">
        <v>149</v>
      </c>
      <c r="E37" s="18" t="s">
        <v>156</v>
      </c>
      <c r="F37" s="19" t="s">
        <v>157</v>
      </c>
      <c r="G37" s="20" t="s">
        <v>41</v>
      </c>
      <c r="H37" s="18"/>
    </row>
    <row r="38" ht="27.75" customHeight="1">
      <c r="A38" s="12">
        <v>14.0</v>
      </c>
      <c r="B38" s="13" t="s">
        <v>158</v>
      </c>
      <c r="C38" s="13" t="s">
        <v>159</v>
      </c>
      <c r="D38" s="13" t="s">
        <v>149</v>
      </c>
      <c r="E38" s="13" t="s">
        <v>120</v>
      </c>
      <c r="F38" s="14" t="s">
        <v>160</v>
      </c>
      <c r="G38" s="15" t="s">
        <v>34</v>
      </c>
      <c r="H38" s="13" t="s">
        <v>161</v>
      </c>
      <c r="I38" s="16" t="s">
        <v>36</v>
      </c>
    </row>
    <row r="39" ht="18.0" customHeight="1">
      <c r="A39" s="22">
        <v>14.0</v>
      </c>
      <c r="B39" s="23" t="s">
        <v>158</v>
      </c>
      <c r="C39" s="23" t="s">
        <v>123</v>
      </c>
      <c r="D39" s="23" t="s">
        <v>149</v>
      </c>
      <c r="E39" s="23" t="s">
        <v>124</v>
      </c>
      <c r="F39" s="24" t="s">
        <v>162</v>
      </c>
      <c r="G39" s="25" t="s">
        <v>50</v>
      </c>
      <c r="H39" s="23" t="s">
        <v>154</v>
      </c>
    </row>
    <row r="40" ht="18.0" customHeight="1">
      <c r="A40" s="17">
        <v>15.0</v>
      </c>
      <c r="B40" s="18" t="s">
        <v>163</v>
      </c>
      <c r="C40" s="18" t="s">
        <v>37</v>
      </c>
      <c r="D40" s="18" t="s">
        <v>149</v>
      </c>
      <c r="E40" s="18" t="s">
        <v>81</v>
      </c>
      <c r="F40" s="19" t="s">
        <v>164</v>
      </c>
      <c r="G40" s="20" t="s">
        <v>41</v>
      </c>
      <c r="H40" s="18"/>
    </row>
    <row r="41" ht="18.0" customHeight="1">
      <c r="A41" s="22">
        <v>16.0</v>
      </c>
      <c r="B41" s="23" t="s">
        <v>165</v>
      </c>
      <c r="C41" s="23" t="s">
        <v>166</v>
      </c>
      <c r="D41" s="23" t="s">
        <v>149</v>
      </c>
      <c r="E41" s="23" t="s">
        <v>167</v>
      </c>
      <c r="F41" s="24" t="s">
        <v>168</v>
      </c>
      <c r="G41" s="25" t="s">
        <v>50</v>
      </c>
      <c r="H41" s="23" t="s">
        <v>154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G2:G41">
      <formula1>"CONFIRMED,PLANNED,NEEDS VERIFICATION"</formula1>
    </dataValidation>
    <dataValidation type="custom" allowBlank="1" showDropDown="1" sqref="A2:A41">
      <formula1>AND(ISNUMBER(A2),(NOT(OR(NOT(ISERROR(DATEVALUE(A2))), AND(ISNUMBER(A2), LEFT(CELL("format", A2))="D")))))</formula1>
    </dataValidation>
  </dataValidations>
  <hyperlinks>
    <hyperlink r:id="rId1" ref="I2"/>
    <hyperlink r:id="rId2" ref="I4"/>
    <hyperlink r:id="rId3" ref="I6"/>
    <hyperlink r:id="rId4" ref="I7"/>
    <hyperlink r:id="rId5" ref="I8"/>
    <hyperlink r:id="rId6" ref="I13"/>
    <hyperlink r:id="rId7" ref="I17"/>
    <hyperlink r:id="rId8" ref="I19"/>
    <hyperlink r:id="rId9" ref="I22"/>
    <hyperlink r:id="rId10" ref="I23"/>
    <hyperlink r:id="rId11" ref="I25"/>
    <hyperlink r:id="rId12" ref="I28"/>
    <hyperlink r:id="rId13" ref="I29"/>
    <hyperlink r:id="rId14" ref="I34"/>
    <hyperlink r:id="rId15" ref="I38"/>
  </hyperlinks>
  <printOptions/>
  <pageMargins bottom="1.0" footer="0.0" header="0.0" left="0.75" right="0.75" top="1.0"/>
  <pageSetup orientation="landscape"/>
  <drawing r:id="rId16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0.0"/>
    <col customWidth="1" min="3" max="4" width="22.0"/>
    <col customWidth="1" min="5" max="6" width="14.0"/>
    <col customWidth="1" min="7" max="7" width="18.86"/>
    <col customWidth="1" min="8" max="8" width="18.0"/>
    <col customWidth="1" min="9" max="9" width="27.0"/>
    <col customWidth="1" min="10" max="10" width="33.29"/>
    <col customWidth="1" min="11" max="11" width="14.0"/>
    <col customWidth="1" min="12" max="26" width="8.71"/>
  </cols>
  <sheetData>
    <row r="1" ht="22.5" customHeight="1">
      <c r="A1" s="11" t="s">
        <v>169</v>
      </c>
      <c r="B1" s="11" t="s">
        <v>170</v>
      </c>
      <c r="C1" s="11" t="s">
        <v>171</v>
      </c>
      <c r="D1" s="11" t="s">
        <v>172</v>
      </c>
      <c r="E1" s="11" t="s">
        <v>173</v>
      </c>
      <c r="F1" s="11" t="s">
        <v>174</v>
      </c>
      <c r="G1" s="11" t="s">
        <v>175</v>
      </c>
      <c r="H1" s="11" t="s">
        <v>176</v>
      </c>
      <c r="I1" s="11" t="s">
        <v>26</v>
      </c>
      <c r="J1" s="11" t="s">
        <v>177</v>
      </c>
      <c r="K1" s="11" t="s">
        <v>178</v>
      </c>
    </row>
    <row r="2" ht="15.75" customHeight="1">
      <c r="A2" s="13" t="s">
        <v>179</v>
      </c>
      <c r="B2" s="13" t="s">
        <v>180</v>
      </c>
      <c r="C2" s="13" t="s">
        <v>181</v>
      </c>
      <c r="D2" s="13" t="s">
        <v>182</v>
      </c>
      <c r="E2" s="13" t="s">
        <v>183</v>
      </c>
      <c r="F2" s="13" t="s">
        <v>184</v>
      </c>
      <c r="G2" s="13" t="s">
        <v>185</v>
      </c>
      <c r="H2" s="13" t="s">
        <v>186</v>
      </c>
      <c r="I2" s="15" t="s">
        <v>34</v>
      </c>
      <c r="J2" s="13" t="s">
        <v>46</v>
      </c>
      <c r="K2" s="16" t="s">
        <v>187</v>
      </c>
    </row>
    <row r="3" ht="15.75" customHeight="1">
      <c r="A3" s="13" t="s">
        <v>179</v>
      </c>
      <c r="B3" s="13" t="s">
        <v>188</v>
      </c>
      <c r="C3" s="13" t="s">
        <v>182</v>
      </c>
      <c r="D3" s="13" t="s">
        <v>189</v>
      </c>
      <c r="E3" s="13" t="s">
        <v>190</v>
      </c>
      <c r="F3" s="13" t="s">
        <v>191</v>
      </c>
      <c r="G3" s="13" t="s">
        <v>192</v>
      </c>
      <c r="H3" s="13" t="s">
        <v>193</v>
      </c>
      <c r="I3" s="15" t="s">
        <v>34</v>
      </c>
      <c r="J3" s="13" t="s">
        <v>46</v>
      </c>
      <c r="K3" s="16" t="s">
        <v>187</v>
      </c>
    </row>
    <row r="4" ht="15.75" customHeight="1">
      <c r="A4" s="23" t="s">
        <v>194</v>
      </c>
      <c r="B4" s="23" t="s">
        <v>195</v>
      </c>
      <c r="C4" s="23" t="s">
        <v>196</v>
      </c>
      <c r="D4" s="23" t="s">
        <v>197</v>
      </c>
      <c r="E4" s="23" t="s">
        <v>198</v>
      </c>
      <c r="F4" s="23" t="s">
        <v>199</v>
      </c>
      <c r="G4" s="23" t="s">
        <v>200</v>
      </c>
      <c r="H4" s="23" t="s">
        <v>201</v>
      </c>
      <c r="I4" s="25" t="s">
        <v>50</v>
      </c>
      <c r="J4" s="23" t="s">
        <v>69</v>
      </c>
    </row>
    <row r="5" ht="15.75" customHeight="1">
      <c r="A5" s="23" t="s">
        <v>194</v>
      </c>
      <c r="B5" s="23" t="s">
        <v>202</v>
      </c>
      <c r="C5" s="23" t="s">
        <v>197</v>
      </c>
      <c r="D5" s="23" t="s">
        <v>203</v>
      </c>
      <c r="E5" s="23" t="s">
        <v>204</v>
      </c>
      <c r="F5" s="23" t="s">
        <v>205</v>
      </c>
      <c r="G5" s="23" t="s">
        <v>200</v>
      </c>
      <c r="H5" s="23" t="s">
        <v>201</v>
      </c>
      <c r="I5" s="25" t="s">
        <v>50</v>
      </c>
      <c r="J5" s="23" t="s">
        <v>69</v>
      </c>
    </row>
    <row r="6" ht="15.75" customHeight="1">
      <c r="A6" s="13" t="s">
        <v>206</v>
      </c>
      <c r="B6" s="13" t="s">
        <v>207</v>
      </c>
      <c r="C6" s="13" t="s">
        <v>189</v>
      </c>
      <c r="D6" s="13" t="s">
        <v>203</v>
      </c>
      <c r="E6" s="13" t="s">
        <v>208</v>
      </c>
      <c r="F6" s="13" t="s">
        <v>209</v>
      </c>
      <c r="G6" s="13" t="s">
        <v>200</v>
      </c>
      <c r="H6" s="13" t="s">
        <v>193</v>
      </c>
      <c r="I6" s="15" t="s">
        <v>34</v>
      </c>
      <c r="J6" s="13" t="s">
        <v>210</v>
      </c>
      <c r="K6" s="16" t="s">
        <v>187</v>
      </c>
    </row>
    <row r="7" ht="15.75" customHeight="1">
      <c r="A7" s="13" t="s">
        <v>211</v>
      </c>
      <c r="B7" s="13" t="s">
        <v>212</v>
      </c>
      <c r="C7" s="13" t="s">
        <v>203</v>
      </c>
      <c r="D7" s="13" t="s">
        <v>93</v>
      </c>
      <c r="E7" s="13" t="s">
        <v>213</v>
      </c>
      <c r="F7" s="13" t="s">
        <v>214</v>
      </c>
      <c r="G7" s="13" t="s">
        <v>200</v>
      </c>
      <c r="H7" s="13" t="s">
        <v>215</v>
      </c>
      <c r="I7" s="15" t="s">
        <v>34</v>
      </c>
      <c r="J7" s="13" t="s">
        <v>216</v>
      </c>
      <c r="K7" s="16" t="s">
        <v>187</v>
      </c>
    </row>
    <row r="8" ht="15.75" customHeight="1">
      <c r="A8" s="13" t="s">
        <v>211</v>
      </c>
      <c r="B8" s="13" t="s">
        <v>217</v>
      </c>
      <c r="C8" s="13" t="s">
        <v>93</v>
      </c>
      <c r="D8" s="13" t="s">
        <v>218</v>
      </c>
      <c r="E8" s="13" t="s">
        <v>219</v>
      </c>
      <c r="F8" s="13" t="s">
        <v>220</v>
      </c>
      <c r="G8" s="13" t="s">
        <v>221</v>
      </c>
      <c r="H8" s="13" t="s">
        <v>215</v>
      </c>
      <c r="I8" s="15" t="s">
        <v>34</v>
      </c>
      <c r="J8" s="13" t="s">
        <v>216</v>
      </c>
      <c r="K8" s="16" t="s">
        <v>187</v>
      </c>
    </row>
    <row r="9" ht="15.75" customHeight="1">
      <c r="A9" s="13" t="s">
        <v>222</v>
      </c>
      <c r="B9" s="13" t="s">
        <v>223</v>
      </c>
      <c r="C9" s="13" t="s">
        <v>218</v>
      </c>
      <c r="D9" s="13" t="s">
        <v>224</v>
      </c>
      <c r="E9" s="13" t="s">
        <v>225</v>
      </c>
      <c r="F9" s="13" t="s">
        <v>226</v>
      </c>
      <c r="G9" s="13" t="s">
        <v>227</v>
      </c>
      <c r="H9" s="13" t="s">
        <v>215</v>
      </c>
      <c r="I9" s="15" t="s">
        <v>34</v>
      </c>
      <c r="J9" s="13" t="s">
        <v>228</v>
      </c>
      <c r="K9" s="16" t="s">
        <v>187</v>
      </c>
    </row>
    <row r="10" ht="15.75" customHeight="1">
      <c r="A10" s="13" t="s">
        <v>222</v>
      </c>
      <c r="B10" s="13" t="s">
        <v>229</v>
      </c>
      <c r="C10" s="13" t="s">
        <v>224</v>
      </c>
      <c r="D10" s="13" t="s">
        <v>218</v>
      </c>
      <c r="E10" s="13" t="s">
        <v>230</v>
      </c>
      <c r="F10" s="13" t="s">
        <v>231</v>
      </c>
      <c r="G10" s="13" t="s">
        <v>232</v>
      </c>
      <c r="H10" s="13" t="s">
        <v>215</v>
      </c>
      <c r="I10" s="15" t="s">
        <v>34</v>
      </c>
      <c r="J10" s="13" t="s">
        <v>228</v>
      </c>
      <c r="K10" s="16" t="s">
        <v>187</v>
      </c>
    </row>
    <row r="11" ht="15.75" customHeight="1">
      <c r="A11" s="13" t="s">
        <v>233</v>
      </c>
      <c r="B11" s="13" t="s">
        <v>234</v>
      </c>
      <c r="C11" s="13" t="s">
        <v>218</v>
      </c>
      <c r="D11" s="13" t="s">
        <v>235</v>
      </c>
      <c r="E11" s="13" t="s">
        <v>236</v>
      </c>
      <c r="F11" s="13" t="s">
        <v>237</v>
      </c>
      <c r="G11" s="13" t="s">
        <v>238</v>
      </c>
      <c r="H11" s="13" t="s">
        <v>215</v>
      </c>
      <c r="I11" s="15" t="s">
        <v>34</v>
      </c>
      <c r="J11" s="13" t="s">
        <v>146</v>
      </c>
      <c r="K11" s="16" t="s">
        <v>187</v>
      </c>
    </row>
    <row r="12" ht="15.75" customHeight="1">
      <c r="A12" s="23" t="s">
        <v>239</v>
      </c>
      <c r="B12" s="23" t="s">
        <v>200</v>
      </c>
      <c r="C12" s="23" t="s">
        <v>149</v>
      </c>
      <c r="D12" s="23" t="s">
        <v>240</v>
      </c>
      <c r="E12" s="23" t="s">
        <v>241</v>
      </c>
      <c r="F12" s="23" t="s">
        <v>200</v>
      </c>
      <c r="G12" s="23" t="s">
        <v>200</v>
      </c>
      <c r="H12" s="23" t="s">
        <v>215</v>
      </c>
      <c r="I12" s="25" t="s">
        <v>50</v>
      </c>
      <c r="J12" s="23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I2:I12">
      <formula1>"CONFIRMED,NEEDS VERIFICATION"</formula1>
    </dataValidation>
  </dataValidations>
  <hyperlinks>
    <hyperlink r:id="rId1" ref="K2"/>
    <hyperlink r:id="rId2" ref="K3"/>
    <hyperlink r:id="rId3" ref="K6"/>
    <hyperlink r:id="rId4" ref="K7"/>
    <hyperlink r:id="rId5" ref="K8"/>
    <hyperlink r:id="rId6" ref="K9"/>
    <hyperlink r:id="rId7" ref="K10"/>
    <hyperlink r:id="rId8" ref="K11"/>
  </hyperlinks>
  <printOptions/>
  <pageMargins bottom="1.0" footer="0.0" header="0.0" left="0.75" right="0.75" top="1.0"/>
  <pageSetup orientation="landscape"/>
  <drawing r:id="rId9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35.0"/>
    <col customWidth="1" min="3" max="4" width="20.0"/>
    <col customWidth="1" min="5" max="5" width="8.0"/>
    <col customWidth="1" min="6" max="6" width="20.0"/>
    <col customWidth="1" min="7" max="7" width="24.0"/>
    <col customWidth="1" min="8" max="9" width="18.0"/>
    <col customWidth="1" min="10" max="10" width="14.0"/>
    <col customWidth="1" min="11" max="26" width="8.71"/>
  </cols>
  <sheetData>
    <row r="1">
      <c r="A1" s="26" t="s">
        <v>243</v>
      </c>
      <c r="B1" s="26" t="s">
        <v>244</v>
      </c>
      <c r="C1" s="26" t="s">
        <v>58</v>
      </c>
      <c r="D1" s="26" t="s">
        <v>100</v>
      </c>
      <c r="E1" s="26" t="s">
        <v>245</v>
      </c>
      <c r="F1" s="26" t="s">
        <v>246</v>
      </c>
      <c r="G1" s="26" t="s">
        <v>247</v>
      </c>
      <c r="H1" s="26" t="s">
        <v>26</v>
      </c>
      <c r="I1" s="26" t="s">
        <v>248</v>
      </c>
      <c r="J1" s="26" t="s">
        <v>178</v>
      </c>
    </row>
    <row r="2" ht="21.75" customHeight="1">
      <c r="A2" s="27" t="s">
        <v>249</v>
      </c>
      <c r="B2" s="27" t="s">
        <v>250</v>
      </c>
      <c r="C2" s="28" t="s">
        <v>251</v>
      </c>
      <c r="D2" s="28" t="s">
        <v>252</v>
      </c>
      <c r="E2" s="28">
        <v>1.0</v>
      </c>
      <c r="F2" s="28" t="s">
        <v>253</v>
      </c>
      <c r="G2" s="28" t="s">
        <v>254</v>
      </c>
      <c r="H2" s="28" t="s">
        <v>34</v>
      </c>
      <c r="I2" s="28" t="s">
        <v>255</v>
      </c>
      <c r="J2" s="29" t="s">
        <v>187</v>
      </c>
    </row>
    <row r="3" ht="21.75" customHeight="1">
      <c r="A3" s="27" t="s">
        <v>256</v>
      </c>
      <c r="B3" s="27" t="s">
        <v>257</v>
      </c>
      <c r="C3" s="28" t="s">
        <v>258</v>
      </c>
      <c r="D3" s="28" t="s">
        <v>259</v>
      </c>
      <c r="E3" s="28">
        <v>4.0</v>
      </c>
      <c r="F3" s="28" t="s">
        <v>260</v>
      </c>
      <c r="G3" s="28" t="s">
        <v>261</v>
      </c>
      <c r="H3" s="28" t="s">
        <v>34</v>
      </c>
      <c r="I3" s="28" t="s">
        <v>262</v>
      </c>
      <c r="J3" s="29" t="s">
        <v>187</v>
      </c>
    </row>
    <row r="4" ht="21.75" customHeight="1">
      <c r="A4" s="27" t="s">
        <v>118</v>
      </c>
      <c r="B4" s="27" t="s">
        <v>263</v>
      </c>
      <c r="C4" s="28" t="s">
        <v>264</v>
      </c>
      <c r="D4" s="28" t="s">
        <v>265</v>
      </c>
      <c r="E4" s="28">
        <v>2.0</v>
      </c>
      <c r="F4" s="28" t="s">
        <v>266</v>
      </c>
      <c r="G4" s="28" t="s">
        <v>267</v>
      </c>
      <c r="H4" s="28" t="s">
        <v>34</v>
      </c>
      <c r="I4" s="28" t="s">
        <v>268</v>
      </c>
      <c r="J4" s="29" t="s">
        <v>187</v>
      </c>
    </row>
    <row r="5" ht="21.75" customHeight="1">
      <c r="A5" s="27" t="s">
        <v>269</v>
      </c>
      <c r="B5" s="27" t="s">
        <v>270</v>
      </c>
      <c r="C5" s="28" t="s">
        <v>271</v>
      </c>
      <c r="D5" s="28" t="s">
        <v>272</v>
      </c>
      <c r="E5" s="28">
        <v>3.0</v>
      </c>
      <c r="F5" s="28" t="s">
        <v>273</v>
      </c>
      <c r="G5" s="28" t="s">
        <v>274</v>
      </c>
      <c r="H5" s="28" t="s">
        <v>34</v>
      </c>
      <c r="I5" s="28" t="s">
        <v>275</v>
      </c>
      <c r="J5" s="29" t="s">
        <v>187</v>
      </c>
    </row>
    <row r="6" ht="21.75" customHeight="1">
      <c r="A6" s="30" t="s">
        <v>276</v>
      </c>
      <c r="B6" s="30" t="s">
        <v>200</v>
      </c>
      <c r="C6" s="31" t="s">
        <v>151</v>
      </c>
      <c r="D6" s="31" t="s">
        <v>277</v>
      </c>
      <c r="E6" s="31" t="s">
        <v>278</v>
      </c>
      <c r="F6" s="31" t="s">
        <v>215</v>
      </c>
      <c r="G6" s="31" t="s">
        <v>279</v>
      </c>
      <c r="H6" s="31" t="s">
        <v>50</v>
      </c>
      <c r="I6" s="3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J3"/>
    <hyperlink r:id="rId3" ref="J4"/>
    <hyperlink r:id="rId4" ref="J5"/>
  </hyperlinks>
  <printOptions/>
  <pageMargins bottom="1.0" footer="0.0" header="0.0" left="0.75" right="0.75" top="1.0"/>
  <pageSetup orientation="landscape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45.0"/>
    <col customWidth="1" min="3" max="3" width="30.0"/>
    <col customWidth="1" min="4" max="26" width="8.71"/>
  </cols>
  <sheetData>
    <row r="1">
      <c r="A1" s="4" t="s">
        <v>280</v>
      </c>
      <c r="B1" s="32"/>
      <c r="C1" s="5"/>
    </row>
    <row r="2" ht="15.0" customHeight="1">
      <c r="A2" s="33" t="s">
        <v>281</v>
      </c>
      <c r="B2" s="34" t="s">
        <v>282</v>
      </c>
      <c r="C2" s="35" t="s">
        <v>283</v>
      </c>
    </row>
    <row r="3" ht="15.0" customHeight="1">
      <c r="A3" s="33" t="s">
        <v>284</v>
      </c>
      <c r="B3" s="34" t="s">
        <v>285</v>
      </c>
      <c r="C3" s="35" t="s">
        <v>286</v>
      </c>
    </row>
    <row r="4" ht="15.0" customHeight="1">
      <c r="A4" s="33" t="s">
        <v>287</v>
      </c>
      <c r="B4" s="34" t="s">
        <v>288</v>
      </c>
      <c r="C4" s="35" t="s">
        <v>289</v>
      </c>
    </row>
    <row r="5" ht="15.0" customHeight="1">
      <c r="A5" s="33" t="s">
        <v>290</v>
      </c>
      <c r="B5" s="34" t="s">
        <v>291</v>
      </c>
      <c r="C5" s="35" t="s">
        <v>292</v>
      </c>
    </row>
    <row r="7">
      <c r="A7" s="4" t="s">
        <v>293</v>
      </c>
      <c r="B7" s="32"/>
      <c r="C7" s="5"/>
    </row>
    <row r="8" ht="15.0" customHeight="1">
      <c r="A8" s="33" t="s">
        <v>294</v>
      </c>
      <c r="B8" s="34" t="s">
        <v>255</v>
      </c>
      <c r="C8" s="35" t="s">
        <v>295</v>
      </c>
    </row>
    <row r="9" ht="15.0" customHeight="1">
      <c r="A9" s="33" t="s">
        <v>256</v>
      </c>
      <c r="B9" s="34" t="s">
        <v>262</v>
      </c>
      <c r="C9" s="35" t="s">
        <v>296</v>
      </c>
    </row>
    <row r="10" ht="15.0" customHeight="1">
      <c r="A10" s="33" t="s">
        <v>118</v>
      </c>
      <c r="B10" s="34" t="s">
        <v>268</v>
      </c>
      <c r="C10" s="35" t="s">
        <v>296</v>
      </c>
    </row>
    <row r="11" ht="15.0" customHeight="1">
      <c r="A11" s="33" t="s">
        <v>297</v>
      </c>
      <c r="B11" s="34" t="s">
        <v>275</v>
      </c>
      <c r="C11" s="35" t="s">
        <v>298</v>
      </c>
    </row>
    <row r="13">
      <c r="A13" s="4" t="s">
        <v>299</v>
      </c>
      <c r="B13" s="32"/>
      <c r="C13" s="5"/>
    </row>
    <row r="14" ht="15.0" customHeight="1">
      <c r="A14" s="33" t="s">
        <v>300</v>
      </c>
      <c r="B14" s="34" t="s">
        <v>301</v>
      </c>
      <c r="C14" s="35" t="s">
        <v>302</v>
      </c>
    </row>
    <row r="15" ht="15.0" customHeight="1">
      <c r="A15" s="33" t="s">
        <v>303</v>
      </c>
      <c r="B15" s="34" t="s">
        <v>304</v>
      </c>
      <c r="C15" s="35" t="s">
        <v>305</v>
      </c>
    </row>
    <row r="17">
      <c r="A17" s="4" t="s">
        <v>306</v>
      </c>
      <c r="B17" s="32"/>
      <c r="C17" s="5"/>
    </row>
    <row r="18" ht="15.0" customHeight="1">
      <c r="A18" s="33" t="s">
        <v>307</v>
      </c>
      <c r="B18" s="34" t="s">
        <v>308</v>
      </c>
      <c r="C18" s="35" t="s">
        <v>186</v>
      </c>
    </row>
    <row r="19" ht="15.0" customHeight="1">
      <c r="A19" s="33" t="s">
        <v>309</v>
      </c>
      <c r="B19" s="34" t="s">
        <v>310</v>
      </c>
      <c r="C19" s="35" t="s">
        <v>311</v>
      </c>
    </row>
    <row r="20" ht="15.0" customHeight="1">
      <c r="A20" s="33" t="s">
        <v>312</v>
      </c>
      <c r="B20" s="34" t="s">
        <v>228</v>
      </c>
      <c r="C20" s="35" t="s">
        <v>313</v>
      </c>
    </row>
    <row r="21" ht="15.0" customHeight="1">
      <c r="A21" s="33" t="s">
        <v>314</v>
      </c>
      <c r="B21" s="34" t="s">
        <v>315</v>
      </c>
      <c r="C21" s="35" t="s">
        <v>316</v>
      </c>
    </row>
    <row r="22" ht="15.75" customHeight="1"/>
    <row r="23" ht="15.75" customHeight="1">
      <c r="A23" s="4" t="s">
        <v>317</v>
      </c>
      <c r="B23" s="32"/>
      <c r="C23" s="5"/>
    </row>
    <row r="24" ht="15.0" customHeight="1">
      <c r="A24" s="33" t="s">
        <v>318</v>
      </c>
      <c r="B24" s="34" t="s">
        <v>319</v>
      </c>
      <c r="C24" s="35" t="s">
        <v>320</v>
      </c>
    </row>
    <row r="25" ht="15.0" customHeight="1">
      <c r="A25" s="33" t="s">
        <v>321</v>
      </c>
      <c r="B25" s="34" t="s">
        <v>322</v>
      </c>
      <c r="C25" s="35" t="s">
        <v>323</v>
      </c>
    </row>
    <row r="26" ht="15.0" customHeight="1">
      <c r="A26" s="33" t="s">
        <v>324</v>
      </c>
      <c r="B26" s="34" t="s">
        <v>325</v>
      </c>
      <c r="C26" s="35" t="s">
        <v>326</v>
      </c>
    </row>
    <row r="27" ht="15.75" customHeight="1"/>
    <row r="28" ht="15.75" customHeight="1">
      <c r="A28" s="4" t="s">
        <v>327</v>
      </c>
      <c r="B28" s="32"/>
      <c r="C28" s="5"/>
    </row>
    <row r="29" ht="15.0" customHeight="1">
      <c r="A29" s="33" t="s">
        <v>328</v>
      </c>
      <c r="B29" s="34" t="s">
        <v>329</v>
      </c>
      <c r="C29" s="35" t="s">
        <v>330</v>
      </c>
    </row>
    <row r="30" ht="15.0" customHeight="1">
      <c r="A30" s="33" t="s">
        <v>331</v>
      </c>
      <c r="B30" s="34" t="s">
        <v>332</v>
      </c>
      <c r="C30" s="35" t="s">
        <v>330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7:C7"/>
    <mergeCell ref="A13:C13"/>
    <mergeCell ref="A17:C17"/>
    <mergeCell ref="A23:C23"/>
    <mergeCell ref="A28:C2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21.29"/>
    <col customWidth="1" min="4" max="4" width="27.0"/>
    <col customWidth="1" min="5" max="5" width="31.71"/>
    <col customWidth="1" min="6" max="6" width="14.0"/>
    <col customWidth="1" min="7" max="26" width="8.71"/>
  </cols>
  <sheetData>
    <row r="1" ht="22.5" customHeight="1">
      <c r="A1" s="11" t="s">
        <v>333</v>
      </c>
      <c r="B1" s="11" t="s">
        <v>334</v>
      </c>
      <c r="C1" s="11" t="s">
        <v>335</v>
      </c>
      <c r="D1" s="11" t="s">
        <v>26</v>
      </c>
      <c r="E1" s="11" t="s">
        <v>336</v>
      </c>
      <c r="F1" s="11" t="s">
        <v>337</v>
      </c>
    </row>
    <row r="2" ht="15.75" customHeight="1">
      <c r="A2" s="17">
        <v>1.0</v>
      </c>
      <c r="B2" s="19" t="s">
        <v>338</v>
      </c>
      <c r="C2" s="18" t="s">
        <v>339</v>
      </c>
      <c r="D2" s="20" t="s">
        <v>41</v>
      </c>
      <c r="E2" s="18" t="s">
        <v>200</v>
      </c>
    </row>
    <row r="3" ht="15.75" customHeight="1">
      <c r="A3" s="12">
        <v>2.0</v>
      </c>
      <c r="B3" s="14" t="s">
        <v>340</v>
      </c>
      <c r="C3" s="13" t="s">
        <v>341</v>
      </c>
      <c r="D3" s="15" t="s">
        <v>34</v>
      </c>
      <c r="E3" s="13" t="s">
        <v>46</v>
      </c>
      <c r="F3" s="16" t="s">
        <v>342</v>
      </c>
    </row>
    <row r="4" ht="15.75" customHeight="1">
      <c r="A4" s="12">
        <v>3.0</v>
      </c>
      <c r="B4" s="14" t="s">
        <v>343</v>
      </c>
      <c r="C4" s="13" t="s">
        <v>341</v>
      </c>
      <c r="D4" s="15" t="s">
        <v>34</v>
      </c>
      <c r="E4" s="13" t="s">
        <v>344</v>
      </c>
      <c r="F4" s="16" t="s">
        <v>342</v>
      </c>
    </row>
    <row r="5" ht="15.75" customHeight="1">
      <c r="A5" s="12">
        <v>4.0</v>
      </c>
      <c r="B5" s="14" t="s">
        <v>345</v>
      </c>
      <c r="C5" s="13" t="s">
        <v>341</v>
      </c>
      <c r="D5" s="15" t="s">
        <v>34</v>
      </c>
      <c r="E5" s="13" t="s">
        <v>346</v>
      </c>
      <c r="F5" s="16" t="s">
        <v>342</v>
      </c>
    </row>
    <row r="6" ht="15.75" customHeight="1">
      <c r="A6" s="12">
        <v>5.0</v>
      </c>
      <c r="B6" s="14" t="s">
        <v>347</v>
      </c>
      <c r="C6" s="13" t="s">
        <v>348</v>
      </c>
      <c r="D6" s="15" t="s">
        <v>34</v>
      </c>
      <c r="E6" s="13" t="s">
        <v>60</v>
      </c>
      <c r="F6" s="16" t="s">
        <v>342</v>
      </c>
    </row>
    <row r="7" ht="15.75" customHeight="1">
      <c r="A7" s="12">
        <v>6.0</v>
      </c>
      <c r="B7" s="14" t="s">
        <v>349</v>
      </c>
      <c r="C7" s="13" t="s">
        <v>348</v>
      </c>
      <c r="D7" s="15" t="s">
        <v>34</v>
      </c>
      <c r="E7" s="13" t="s">
        <v>79</v>
      </c>
      <c r="F7" s="16" t="s">
        <v>342</v>
      </c>
    </row>
    <row r="8" ht="15.75" customHeight="1">
      <c r="A8" s="12">
        <v>7.0</v>
      </c>
      <c r="B8" s="14" t="s">
        <v>350</v>
      </c>
      <c r="C8" s="13" t="s">
        <v>351</v>
      </c>
      <c r="D8" s="15" t="s">
        <v>34</v>
      </c>
      <c r="E8" s="13" t="s">
        <v>352</v>
      </c>
      <c r="F8" s="16" t="s">
        <v>342</v>
      </c>
    </row>
    <row r="9" ht="15.75" customHeight="1">
      <c r="A9" s="12">
        <v>8.0</v>
      </c>
      <c r="B9" s="14" t="s">
        <v>353</v>
      </c>
      <c r="C9" s="13" t="s">
        <v>354</v>
      </c>
      <c r="D9" s="15" t="s">
        <v>34</v>
      </c>
      <c r="E9" s="13" t="s">
        <v>228</v>
      </c>
      <c r="F9" s="16" t="s">
        <v>342</v>
      </c>
    </row>
    <row r="10" ht="15.75" customHeight="1">
      <c r="A10" s="12">
        <v>9.0</v>
      </c>
      <c r="B10" s="14" t="s">
        <v>355</v>
      </c>
      <c r="C10" s="13" t="s">
        <v>348</v>
      </c>
      <c r="D10" s="15" t="s">
        <v>34</v>
      </c>
      <c r="E10" s="13" t="s">
        <v>113</v>
      </c>
      <c r="F10" s="16" t="s">
        <v>342</v>
      </c>
    </row>
    <row r="11" ht="15.75" customHeight="1">
      <c r="A11" s="12">
        <v>10.0</v>
      </c>
      <c r="B11" s="14" t="s">
        <v>356</v>
      </c>
      <c r="C11" s="13" t="s">
        <v>357</v>
      </c>
      <c r="D11" s="15" t="s">
        <v>34</v>
      </c>
      <c r="E11" s="13" t="s">
        <v>358</v>
      </c>
      <c r="F11" s="16" t="s">
        <v>342</v>
      </c>
    </row>
    <row r="12" ht="15.75" customHeight="1">
      <c r="A12" s="12">
        <v>11.0</v>
      </c>
      <c r="B12" s="14" t="s">
        <v>359</v>
      </c>
      <c r="C12" s="13" t="s">
        <v>357</v>
      </c>
      <c r="D12" s="15" t="s">
        <v>34</v>
      </c>
      <c r="E12" s="13" t="s">
        <v>305</v>
      </c>
      <c r="F12" s="16" t="s">
        <v>342</v>
      </c>
    </row>
    <row r="13" ht="15.75" customHeight="1">
      <c r="A13" s="12">
        <v>12.0</v>
      </c>
      <c r="B13" s="14" t="s">
        <v>360</v>
      </c>
      <c r="C13" s="13" t="s">
        <v>354</v>
      </c>
      <c r="D13" s="15" t="s">
        <v>34</v>
      </c>
      <c r="E13" s="13" t="s">
        <v>146</v>
      </c>
      <c r="F13" s="16" t="s">
        <v>342</v>
      </c>
    </row>
    <row r="14" ht="15.75" customHeight="1">
      <c r="A14" s="12">
        <v>13.0</v>
      </c>
      <c r="B14" s="14" t="s">
        <v>361</v>
      </c>
      <c r="C14" s="13" t="s">
        <v>348</v>
      </c>
      <c r="D14" s="15" t="s">
        <v>34</v>
      </c>
      <c r="E14" s="13" t="s">
        <v>133</v>
      </c>
      <c r="F14" s="16" t="s">
        <v>342</v>
      </c>
    </row>
    <row r="15" ht="15.75" customHeight="1">
      <c r="A15" s="22">
        <v>14.0</v>
      </c>
      <c r="B15" s="24" t="s">
        <v>362</v>
      </c>
      <c r="C15" s="23" t="s">
        <v>348</v>
      </c>
      <c r="D15" s="25" t="s">
        <v>50</v>
      </c>
      <c r="E15" s="23" t="s">
        <v>279</v>
      </c>
    </row>
    <row r="16" ht="15.75" customHeight="1">
      <c r="A16" s="22">
        <v>15.0</v>
      </c>
      <c r="B16" s="24" t="s">
        <v>363</v>
      </c>
      <c r="C16" s="23" t="s">
        <v>354</v>
      </c>
      <c r="D16" s="25" t="s">
        <v>50</v>
      </c>
      <c r="E16" s="23" t="s">
        <v>364</v>
      </c>
    </row>
    <row r="17" ht="15.75" customHeight="1">
      <c r="A17" s="22">
        <v>16.0</v>
      </c>
      <c r="B17" s="24" t="s">
        <v>365</v>
      </c>
      <c r="C17" s="23" t="s">
        <v>354</v>
      </c>
      <c r="D17" s="25" t="s">
        <v>50</v>
      </c>
      <c r="E17" s="23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7">
      <formula1>AND(ISNUMBER(A2),(NOT(OR(NOT(ISERROR(DATEVALUE(A2))), AND(ISNUMBER(A2), LEFT(CELL("format", A2))="D")))))</formula1>
    </dataValidation>
    <dataValidation type="list" allowBlank="1" showDropDown="1" showErrorMessage="1" sqref="D2:D17">
      <formula1>"PLANNED,CONFIRMED,NEEDS VERIFICATION"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</hyperlinks>
  <printOptions/>
  <pageMargins bottom="1.0" footer="0.0" header="0.0" left="0.75" right="0.75" top="1.0"/>
  <pageSetup orientation="landscape"/>
  <drawing r:id="rId13"/>
  <tableParts count="1">
    <tablePart r:id="rId15"/>
  </tableParts>
</worksheet>
</file>